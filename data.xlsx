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0.复发事件的可加模型网络自回归众数回归\代码\代码1\realdata\原始数据covid-19\"/>
    </mc:Choice>
  </mc:AlternateContent>
  <xr:revisionPtr revIDLastSave="0" documentId="8_{976646ED-5C3C-4D18-AA26-120525A2338D}" xr6:coauthVersionLast="47" xr6:coauthVersionMax="47" xr10:uidLastSave="{00000000-0000-0000-0000-000000000000}"/>
  <bookViews>
    <workbookView xWindow="4340" yWindow="2270" windowWidth="28800" windowHeight="15370" xr2:uid="{00000000-000D-0000-FFFF-FFFF00000000}"/>
  </bookViews>
  <sheets>
    <sheet name="response" sheetId="1" r:id="rId1"/>
    <sheet name="covariable" sheetId="2" r:id="rId2"/>
  </sheets>
  <definedNames>
    <definedName name="_xlnm._FilterDatabase" localSheetId="1" hidden="1">covariable!$A$1:$Q$318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2" l="1"/>
  <c r="F217" i="2"/>
  <c r="F163" i="2"/>
  <c r="F79" i="2"/>
  <c r="K284" i="2"/>
  <c r="K223" i="2"/>
  <c r="K224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61" i="2"/>
  <c r="K162" i="2"/>
  <c r="K163" i="2"/>
  <c r="K164" i="2"/>
  <c r="K165" i="2"/>
  <c r="K166" i="2"/>
  <c r="K167" i="2"/>
  <c r="K168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19" i="2"/>
  <c r="K20" i="2"/>
  <c r="K21" i="2"/>
  <c r="K22" i="2"/>
  <c r="K23" i="2"/>
  <c r="K24" i="2"/>
  <c r="K25" i="2"/>
  <c r="K26" i="2"/>
  <c r="K27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182" i="2"/>
  <c r="K183" i="2"/>
  <c r="K184" i="2"/>
  <c r="K185" i="2"/>
  <c r="K186" i="2"/>
  <c r="K187" i="2"/>
  <c r="K188" i="2"/>
  <c r="K189" i="2"/>
  <c r="K190" i="2"/>
  <c r="K191" i="2"/>
  <c r="K192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72" i="2"/>
  <c r="K73" i="2"/>
  <c r="K74" i="2"/>
  <c r="K75" i="2"/>
  <c r="K76" i="2"/>
  <c r="K77" i="2"/>
  <c r="K78" i="2"/>
  <c r="K79" i="2"/>
  <c r="K80" i="2"/>
  <c r="K28" i="2"/>
  <c r="K29" i="2"/>
  <c r="K30" i="2"/>
  <c r="K31" i="2"/>
  <c r="K32" i="2"/>
  <c r="K33" i="2"/>
  <c r="K34" i="2"/>
  <c r="K35" i="2"/>
  <c r="K36" i="2"/>
  <c r="K37" i="2"/>
  <c r="K38" i="2"/>
  <c r="K18" i="2"/>
  <c r="K283" i="2"/>
  <c r="K318" i="2"/>
  <c r="K307" i="2"/>
  <c r="K308" i="2"/>
  <c r="K309" i="2"/>
  <c r="K310" i="2"/>
  <c r="K311" i="2"/>
  <c r="K312" i="2"/>
  <c r="K313" i="2"/>
  <c r="K314" i="2"/>
  <c r="K315" i="2"/>
  <c r="K316" i="2"/>
  <c r="K317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261" i="2"/>
  <c r="G284" i="2"/>
  <c r="G223" i="2"/>
  <c r="G224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61" i="2"/>
  <c r="G162" i="2"/>
  <c r="G163" i="2"/>
  <c r="G164" i="2"/>
  <c r="G165" i="2"/>
  <c r="G166" i="2"/>
  <c r="G167" i="2"/>
  <c r="G168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19" i="2"/>
  <c r="G20" i="2"/>
  <c r="G21" i="2"/>
  <c r="G22" i="2"/>
  <c r="G23" i="2"/>
  <c r="G24" i="2"/>
  <c r="G25" i="2"/>
  <c r="G26" i="2"/>
  <c r="G27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182" i="2"/>
  <c r="G183" i="2"/>
  <c r="G184" i="2"/>
  <c r="G185" i="2"/>
  <c r="G186" i="2"/>
  <c r="G187" i="2"/>
  <c r="G188" i="2"/>
  <c r="G189" i="2"/>
  <c r="G190" i="2"/>
  <c r="G191" i="2"/>
  <c r="G192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72" i="2"/>
  <c r="G73" i="2"/>
  <c r="G74" i="2"/>
  <c r="G75" i="2"/>
  <c r="G76" i="2"/>
  <c r="G77" i="2"/>
  <c r="G78" i="2"/>
  <c r="G79" i="2"/>
  <c r="G80" i="2"/>
  <c r="G28" i="2"/>
  <c r="G29" i="2"/>
  <c r="G30" i="2"/>
  <c r="G31" i="2"/>
  <c r="G32" i="2"/>
  <c r="G33" i="2"/>
  <c r="G34" i="2"/>
  <c r="G35" i="2"/>
  <c r="G36" i="2"/>
  <c r="G37" i="2"/>
  <c r="G38" i="2"/>
  <c r="G18" i="2"/>
  <c r="G283" i="2"/>
  <c r="G318" i="2"/>
  <c r="O28" i="2"/>
  <c r="O29" i="2"/>
  <c r="O30" i="2"/>
  <c r="O31" i="2"/>
  <c r="O32" i="2"/>
  <c r="O33" i="2"/>
  <c r="O34" i="2"/>
  <c r="O35" i="2"/>
  <c r="O36" i="2"/>
  <c r="O37" i="2"/>
  <c r="O38" i="2"/>
  <c r="O284" i="2"/>
  <c r="O223" i="2"/>
  <c r="O224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61" i="2"/>
  <c r="O162" i="2"/>
  <c r="O163" i="2"/>
  <c r="O164" i="2"/>
  <c r="O165" i="2"/>
  <c r="O166" i="2"/>
  <c r="O167" i="2"/>
  <c r="O168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19" i="2"/>
  <c r="O20" i="2"/>
  <c r="O21" i="2"/>
  <c r="O22" i="2"/>
  <c r="O23" i="2"/>
  <c r="O24" i="2"/>
  <c r="O25" i="2"/>
  <c r="O26" i="2"/>
  <c r="O27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182" i="2"/>
  <c r="O183" i="2"/>
  <c r="O184" i="2"/>
  <c r="O185" i="2"/>
  <c r="O186" i="2"/>
  <c r="O187" i="2"/>
  <c r="O188" i="2"/>
  <c r="O189" i="2"/>
  <c r="O190" i="2"/>
  <c r="O191" i="2"/>
  <c r="O192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72" i="2"/>
  <c r="O73" i="2"/>
  <c r="O74" i="2"/>
  <c r="O75" i="2"/>
  <c r="O76" i="2"/>
  <c r="O77" i="2"/>
  <c r="O78" i="2"/>
  <c r="O79" i="2"/>
  <c r="O80" i="2"/>
  <c r="O18" i="2"/>
  <c r="O283" i="2"/>
  <c r="O31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69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81" i="2"/>
  <c r="G180" i="2"/>
  <c r="G179" i="2"/>
  <c r="G178" i="2"/>
  <c r="G177" i="2"/>
  <c r="G176" i="2"/>
  <c r="G175" i="2"/>
  <c r="G174" i="2"/>
  <c r="G173" i="2"/>
  <c r="G169" i="2"/>
  <c r="G170" i="2"/>
  <c r="G171" i="2"/>
  <c r="G172" i="2"/>
  <c r="O307" i="2"/>
  <c r="O308" i="2"/>
  <c r="O309" i="2"/>
  <c r="O310" i="2"/>
  <c r="O311" i="2"/>
  <c r="O312" i="2"/>
  <c r="O313" i="2"/>
  <c r="O314" i="2"/>
  <c r="O315" i="2"/>
  <c r="O316" i="2"/>
  <c r="O317" i="2"/>
  <c r="O261" i="2"/>
  <c r="G307" i="2"/>
  <c r="G308" i="2"/>
  <c r="G309" i="2"/>
  <c r="G310" i="2"/>
  <c r="G311" i="2"/>
  <c r="G312" i="2"/>
  <c r="G313" i="2"/>
  <c r="G314" i="2"/>
  <c r="G315" i="2"/>
  <c r="G316" i="2"/>
  <c r="G317" i="2"/>
  <c r="G261" i="2"/>
</calcChain>
</file>

<file path=xl/sharedStrings.xml><?xml version="1.0" encoding="utf-8"?>
<sst xmlns="http://schemas.openxmlformats.org/spreadsheetml/2006/main" count="1287" uniqueCount="362">
  <si>
    <t>out_value2019</t>
    <phoneticPr fontId="1" type="noConversion"/>
  </si>
  <si>
    <t>out_value2020</t>
    <phoneticPr fontId="1" type="noConversion"/>
  </si>
  <si>
    <t>兰州市</t>
  </si>
  <si>
    <t>天水市</t>
  </si>
  <si>
    <t>定西市</t>
  </si>
  <si>
    <t>平凉市</t>
  </si>
  <si>
    <t>庆阳市</t>
  </si>
  <si>
    <t>张掖市</t>
  </si>
  <si>
    <t>白银市</t>
  </si>
  <si>
    <t>金昌市</t>
  </si>
  <si>
    <t>陇南市</t>
  </si>
  <si>
    <t>临夏回族自治州</t>
    <phoneticPr fontId="1" type="noConversion"/>
  </si>
  <si>
    <t>甘南藏族自治州</t>
    <phoneticPr fontId="1" type="noConversion"/>
  </si>
  <si>
    <t>吐鲁番地区</t>
    <phoneticPr fontId="1" type="noConversion"/>
  </si>
  <si>
    <t>克拉玛依市</t>
    <phoneticPr fontId="1" type="noConversion"/>
  </si>
  <si>
    <t>阿克苏地区</t>
    <phoneticPr fontId="1" type="noConversion"/>
  </si>
  <si>
    <t>黔西南布依族苗族自治州</t>
  </si>
  <si>
    <t>黔西南布依族苗族自治州</t>
    <phoneticPr fontId="1" type="noConversion"/>
  </si>
  <si>
    <t>黔东南苗族侗族自治州</t>
    <phoneticPr fontId="1" type="noConversion"/>
  </si>
  <si>
    <t>黔南布依族苗族自治州</t>
  </si>
  <si>
    <t>湘西土家族苗族自治州</t>
    <phoneticPr fontId="1" type="noConversion"/>
  </si>
  <si>
    <t>省份</t>
    <phoneticPr fontId="1" type="noConversion"/>
  </si>
  <si>
    <t>城市</t>
    <phoneticPr fontId="1" type="noConversion"/>
  </si>
  <si>
    <t>上海市</t>
    <phoneticPr fontId="1" type="noConversion"/>
  </si>
  <si>
    <t>北京市</t>
    <phoneticPr fontId="1" type="noConversion"/>
  </si>
  <si>
    <t>天津市</t>
    <phoneticPr fontId="1" type="noConversion"/>
  </si>
  <si>
    <t>重庆市</t>
    <phoneticPr fontId="1" type="noConversion"/>
  </si>
  <si>
    <t>浙江省</t>
    <phoneticPr fontId="1" type="noConversion"/>
  </si>
  <si>
    <t>杭州市</t>
    <phoneticPr fontId="1" type="noConversion"/>
  </si>
  <si>
    <t>湖州市</t>
    <phoneticPr fontId="1" type="noConversion"/>
  </si>
  <si>
    <t>嘉兴市</t>
    <phoneticPr fontId="1" type="noConversion"/>
  </si>
  <si>
    <t>金华市</t>
    <phoneticPr fontId="1" type="noConversion"/>
  </si>
  <si>
    <t>丽水市</t>
    <phoneticPr fontId="1" type="noConversion"/>
  </si>
  <si>
    <t>宁波市</t>
    <phoneticPr fontId="1" type="noConversion"/>
  </si>
  <si>
    <t>衢州市</t>
    <phoneticPr fontId="1" type="noConversion"/>
  </si>
  <si>
    <t>绍兴市</t>
    <phoneticPr fontId="1" type="noConversion"/>
  </si>
  <si>
    <t>台州市</t>
    <phoneticPr fontId="1" type="noConversion"/>
  </si>
  <si>
    <t>温州市</t>
    <phoneticPr fontId="1" type="noConversion"/>
  </si>
  <si>
    <t>舟山市</t>
    <phoneticPr fontId="1" type="noConversion"/>
  </si>
  <si>
    <t>江苏省</t>
    <phoneticPr fontId="1" type="noConversion"/>
  </si>
  <si>
    <t>常州市</t>
    <phoneticPr fontId="1" type="noConversion"/>
  </si>
  <si>
    <t>淮安市</t>
    <phoneticPr fontId="1" type="noConversion"/>
  </si>
  <si>
    <t>连云港市</t>
    <phoneticPr fontId="1" type="noConversion"/>
  </si>
  <si>
    <t>南京市</t>
    <phoneticPr fontId="1" type="noConversion"/>
  </si>
  <si>
    <t>南通市</t>
    <phoneticPr fontId="1" type="noConversion"/>
  </si>
  <si>
    <t>苏州市</t>
    <phoneticPr fontId="1" type="noConversion"/>
  </si>
  <si>
    <t>宿迁市</t>
    <phoneticPr fontId="1" type="noConversion"/>
  </si>
  <si>
    <t>泰州市</t>
    <phoneticPr fontId="1" type="noConversion"/>
  </si>
  <si>
    <t>无锡市</t>
    <phoneticPr fontId="1" type="noConversion"/>
  </si>
  <si>
    <t>徐州市</t>
    <phoneticPr fontId="1" type="noConversion"/>
  </si>
  <si>
    <t>盐城市</t>
    <phoneticPr fontId="1" type="noConversion"/>
  </si>
  <si>
    <t>扬州市</t>
    <phoneticPr fontId="1" type="noConversion"/>
  </si>
  <si>
    <t>镇江市</t>
    <phoneticPr fontId="1" type="noConversion"/>
  </si>
  <si>
    <t>安徽省</t>
    <phoneticPr fontId="1" type="noConversion"/>
  </si>
  <si>
    <t>安庆市</t>
    <phoneticPr fontId="1" type="noConversion"/>
  </si>
  <si>
    <t>蚌埠市</t>
    <phoneticPr fontId="1" type="noConversion"/>
  </si>
  <si>
    <t>亳州市</t>
    <phoneticPr fontId="1" type="noConversion"/>
  </si>
  <si>
    <t>池州市</t>
    <phoneticPr fontId="1" type="noConversion"/>
  </si>
  <si>
    <t>滁州市</t>
    <phoneticPr fontId="1" type="noConversion"/>
  </si>
  <si>
    <t>阜阳市</t>
    <phoneticPr fontId="1" type="noConversion"/>
  </si>
  <si>
    <t>合肥市</t>
    <phoneticPr fontId="1" type="noConversion"/>
  </si>
  <si>
    <t>淮北市</t>
    <phoneticPr fontId="1" type="noConversion"/>
  </si>
  <si>
    <t>淮南市</t>
    <phoneticPr fontId="1" type="noConversion"/>
  </si>
  <si>
    <t>黄山市</t>
    <phoneticPr fontId="1" type="noConversion"/>
  </si>
  <si>
    <t>六安市</t>
    <phoneticPr fontId="1" type="noConversion"/>
  </si>
  <si>
    <t>马鞍山市</t>
    <phoneticPr fontId="1" type="noConversion"/>
  </si>
  <si>
    <t>宿州市</t>
    <phoneticPr fontId="1" type="noConversion"/>
  </si>
  <si>
    <t>铜陵市</t>
    <phoneticPr fontId="1" type="noConversion"/>
  </si>
  <si>
    <t>芜湖市</t>
    <phoneticPr fontId="1" type="noConversion"/>
  </si>
  <si>
    <t>宣城市</t>
    <phoneticPr fontId="1" type="noConversion"/>
  </si>
  <si>
    <t>西藏自治区</t>
    <phoneticPr fontId="1" type="noConversion"/>
  </si>
  <si>
    <t>拉萨市</t>
    <phoneticPr fontId="1" type="noConversion"/>
  </si>
  <si>
    <t>青海省</t>
    <phoneticPr fontId="1" type="noConversion"/>
  </si>
  <si>
    <t>西宁市</t>
    <phoneticPr fontId="1" type="noConversion"/>
  </si>
  <si>
    <t>海北藏族自治州</t>
    <phoneticPr fontId="1" type="noConversion"/>
  </si>
  <si>
    <t>广东省</t>
    <phoneticPr fontId="1" type="noConversion"/>
  </si>
  <si>
    <t>东莞市</t>
    <phoneticPr fontId="1" type="noConversion"/>
  </si>
  <si>
    <t>中山市</t>
    <phoneticPr fontId="1" type="noConversion"/>
  </si>
  <si>
    <t>佛山市</t>
    <phoneticPr fontId="1" type="noConversion"/>
  </si>
  <si>
    <t>广州市</t>
    <phoneticPr fontId="1" type="noConversion"/>
  </si>
  <si>
    <t>惠州市</t>
    <phoneticPr fontId="1" type="noConversion"/>
  </si>
  <si>
    <t>揭阳市</t>
    <phoneticPr fontId="1" type="noConversion"/>
  </si>
  <si>
    <t>梅州市</t>
    <phoneticPr fontId="1" type="noConversion"/>
  </si>
  <si>
    <t>汕头市</t>
    <phoneticPr fontId="1" type="noConversion"/>
  </si>
  <si>
    <t>汕尾市</t>
    <phoneticPr fontId="1" type="noConversion"/>
  </si>
  <si>
    <t>江门市</t>
    <phoneticPr fontId="1" type="noConversion"/>
  </si>
  <si>
    <t>河源市</t>
    <phoneticPr fontId="1" type="noConversion"/>
  </si>
  <si>
    <t>深圳市</t>
    <phoneticPr fontId="1" type="noConversion"/>
  </si>
  <si>
    <t>清远市</t>
    <phoneticPr fontId="1" type="noConversion"/>
  </si>
  <si>
    <t>湛江市</t>
    <phoneticPr fontId="1" type="noConversion"/>
  </si>
  <si>
    <t>潮州市</t>
    <phoneticPr fontId="1" type="noConversion"/>
  </si>
  <si>
    <t>珠海市</t>
    <phoneticPr fontId="1" type="noConversion"/>
  </si>
  <si>
    <t>肇庆市</t>
    <phoneticPr fontId="1" type="noConversion"/>
  </si>
  <si>
    <t>茂名市</t>
    <phoneticPr fontId="1" type="noConversion"/>
  </si>
  <si>
    <t>阳江市</t>
    <phoneticPr fontId="1" type="noConversion"/>
  </si>
  <si>
    <t>韶关市</t>
    <phoneticPr fontId="1" type="noConversion"/>
  </si>
  <si>
    <t>湖北省</t>
    <phoneticPr fontId="1" type="noConversion"/>
  </si>
  <si>
    <t>仙桃市</t>
    <phoneticPr fontId="1" type="noConversion"/>
  </si>
  <si>
    <t>十堰市</t>
    <phoneticPr fontId="1" type="noConversion"/>
  </si>
  <si>
    <t>咸宁市</t>
    <phoneticPr fontId="1" type="noConversion"/>
  </si>
  <si>
    <t>天门市</t>
    <phoneticPr fontId="1" type="noConversion"/>
  </si>
  <si>
    <t>孝感市</t>
    <phoneticPr fontId="1" type="noConversion"/>
  </si>
  <si>
    <t>宜昌市</t>
    <phoneticPr fontId="1" type="noConversion"/>
  </si>
  <si>
    <t>恩施土家族苗族自治州</t>
    <phoneticPr fontId="1" type="noConversion"/>
  </si>
  <si>
    <t>武汉市</t>
    <phoneticPr fontId="1" type="noConversion"/>
  </si>
  <si>
    <t>潜江市</t>
    <phoneticPr fontId="1" type="noConversion"/>
  </si>
  <si>
    <t>神农架林区</t>
    <phoneticPr fontId="1" type="noConversion"/>
  </si>
  <si>
    <t>荆州市</t>
    <phoneticPr fontId="1" type="noConversion"/>
  </si>
  <si>
    <t>荆门市</t>
    <phoneticPr fontId="1" type="noConversion"/>
  </si>
  <si>
    <t>襄阳市</t>
    <phoneticPr fontId="1" type="noConversion"/>
  </si>
  <si>
    <t>鄂州市</t>
    <phoneticPr fontId="1" type="noConversion"/>
  </si>
  <si>
    <t>随州市</t>
    <phoneticPr fontId="1" type="noConversion"/>
  </si>
  <si>
    <t>黄冈市</t>
    <phoneticPr fontId="1" type="noConversion"/>
  </si>
  <si>
    <t>黄石市</t>
    <phoneticPr fontId="1" type="noConversion"/>
  </si>
  <si>
    <t>吉林省</t>
    <phoneticPr fontId="1" type="noConversion"/>
  </si>
  <si>
    <t>吉林市</t>
    <phoneticPr fontId="1" type="noConversion"/>
  </si>
  <si>
    <t>四平市</t>
    <phoneticPr fontId="1" type="noConversion"/>
  </si>
  <si>
    <t>延边朝鲜族自治州</t>
    <phoneticPr fontId="1" type="noConversion"/>
  </si>
  <si>
    <t>松原市</t>
    <phoneticPr fontId="1" type="noConversion"/>
  </si>
  <si>
    <t>白城市</t>
    <phoneticPr fontId="1" type="noConversion"/>
  </si>
  <si>
    <t>辽源市</t>
    <phoneticPr fontId="1" type="noConversion"/>
  </si>
  <si>
    <t>通化市</t>
    <phoneticPr fontId="1" type="noConversion"/>
  </si>
  <si>
    <t>长春市</t>
    <phoneticPr fontId="1" type="noConversion"/>
  </si>
  <si>
    <t>乌兰察布市</t>
    <phoneticPr fontId="1" type="noConversion"/>
  </si>
  <si>
    <t>乌海市</t>
    <phoneticPr fontId="1" type="noConversion"/>
  </si>
  <si>
    <t>兴安盟</t>
    <phoneticPr fontId="1" type="noConversion"/>
  </si>
  <si>
    <t>包头市</t>
    <phoneticPr fontId="1" type="noConversion"/>
  </si>
  <si>
    <t>呼伦贝尔市</t>
    <phoneticPr fontId="1" type="noConversion"/>
  </si>
  <si>
    <t>呼和浩特市</t>
    <phoneticPr fontId="1" type="noConversion"/>
  </si>
  <si>
    <t>巴彦淖尔市</t>
    <phoneticPr fontId="1" type="noConversion"/>
  </si>
  <si>
    <t>赤峰市</t>
    <phoneticPr fontId="1" type="noConversion"/>
  </si>
  <si>
    <t>通辽市</t>
    <phoneticPr fontId="1" type="noConversion"/>
  </si>
  <si>
    <t>鄂尔多斯市</t>
    <phoneticPr fontId="1" type="noConversion"/>
  </si>
  <si>
    <t>锡林郭勒盟</t>
    <phoneticPr fontId="1" type="noConversion"/>
  </si>
  <si>
    <t>中卫市</t>
    <phoneticPr fontId="1" type="noConversion"/>
  </si>
  <si>
    <t>吴忠市</t>
    <phoneticPr fontId="1" type="noConversion"/>
  </si>
  <si>
    <t>固原市</t>
    <phoneticPr fontId="1" type="noConversion"/>
  </si>
  <si>
    <t>石嘴山市</t>
    <phoneticPr fontId="1" type="noConversion"/>
  </si>
  <si>
    <t>银川市</t>
    <phoneticPr fontId="1" type="noConversion"/>
  </si>
  <si>
    <t>七台河市</t>
    <phoneticPr fontId="1" type="noConversion"/>
  </si>
  <si>
    <t>伊春市</t>
    <phoneticPr fontId="1" type="noConversion"/>
  </si>
  <si>
    <t>佳木斯市</t>
    <phoneticPr fontId="1" type="noConversion"/>
  </si>
  <si>
    <t>双鸭山市</t>
    <phoneticPr fontId="1" type="noConversion"/>
  </si>
  <si>
    <t>哈尔滨市</t>
    <phoneticPr fontId="1" type="noConversion"/>
  </si>
  <si>
    <t>大兴安岭地区</t>
    <phoneticPr fontId="1" type="noConversion"/>
  </si>
  <si>
    <t>大庆市</t>
    <phoneticPr fontId="1" type="noConversion"/>
  </si>
  <si>
    <t>牡丹江市</t>
    <phoneticPr fontId="1" type="noConversion"/>
  </si>
  <si>
    <t>绥化市</t>
    <phoneticPr fontId="1" type="noConversion"/>
  </si>
  <si>
    <t>鸡西市</t>
    <phoneticPr fontId="1" type="noConversion"/>
  </si>
  <si>
    <t>鹤岗市</t>
    <phoneticPr fontId="1" type="noConversion"/>
  </si>
  <si>
    <t>黑河市</t>
    <phoneticPr fontId="1" type="noConversion"/>
  </si>
  <si>
    <t>齐齐哈尔市</t>
    <phoneticPr fontId="1" type="noConversion"/>
  </si>
  <si>
    <t>丹东市</t>
    <phoneticPr fontId="1" type="noConversion"/>
  </si>
  <si>
    <t>大连市</t>
    <phoneticPr fontId="1" type="noConversion"/>
  </si>
  <si>
    <t>抚顺市</t>
    <phoneticPr fontId="1" type="noConversion"/>
  </si>
  <si>
    <t>朝阳市</t>
    <phoneticPr fontId="1" type="noConversion"/>
  </si>
  <si>
    <t>本溪市</t>
    <phoneticPr fontId="1" type="noConversion"/>
  </si>
  <si>
    <t>沈阳市</t>
    <phoneticPr fontId="1" type="noConversion"/>
  </si>
  <si>
    <t>盘锦市</t>
    <phoneticPr fontId="1" type="noConversion"/>
  </si>
  <si>
    <t>营口市</t>
    <phoneticPr fontId="1" type="noConversion"/>
  </si>
  <si>
    <t>葫芦岛市</t>
    <phoneticPr fontId="1" type="noConversion"/>
  </si>
  <si>
    <t>辽阳市</t>
    <phoneticPr fontId="1" type="noConversion"/>
  </si>
  <si>
    <t>铁岭市</t>
    <phoneticPr fontId="1" type="noConversion"/>
  </si>
  <si>
    <t>锦州市</t>
    <phoneticPr fontId="1" type="noConversion"/>
  </si>
  <si>
    <t>阜新市</t>
    <phoneticPr fontId="1" type="noConversion"/>
  </si>
  <si>
    <t>鞍山市</t>
    <phoneticPr fontId="1" type="noConversion"/>
  </si>
  <si>
    <t>三明市</t>
    <phoneticPr fontId="1" type="noConversion"/>
  </si>
  <si>
    <t>南平市</t>
    <phoneticPr fontId="1" type="noConversion"/>
  </si>
  <si>
    <t>厦门市</t>
    <phoneticPr fontId="1" type="noConversion"/>
  </si>
  <si>
    <t>宁德市</t>
    <phoneticPr fontId="1" type="noConversion"/>
  </si>
  <si>
    <t>泉州市</t>
    <phoneticPr fontId="1" type="noConversion"/>
  </si>
  <si>
    <t>漳州市</t>
    <phoneticPr fontId="1" type="noConversion"/>
  </si>
  <si>
    <t>福州市</t>
    <phoneticPr fontId="1" type="noConversion"/>
  </si>
  <si>
    <t>莆田市</t>
    <phoneticPr fontId="1" type="noConversion"/>
  </si>
  <si>
    <t>龙岩市</t>
    <phoneticPr fontId="1" type="noConversion"/>
  </si>
  <si>
    <t>临沂市</t>
    <phoneticPr fontId="1" type="noConversion"/>
  </si>
  <si>
    <t>威海市</t>
    <phoneticPr fontId="1" type="noConversion"/>
  </si>
  <si>
    <t>德州市</t>
    <phoneticPr fontId="1" type="noConversion"/>
  </si>
  <si>
    <t>日照市</t>
    <phoneticPr fontId="1" type="noConversion"/>
  </si>
  <si>
    <t>枣庄市</t>
    <phoneticPr fontId="1" type="noConversion"/>
  </si>
  <si>
    <t>泰安市</t>
    <phoneticPr fontId="1" type="noConversion"/>
  </si>
  <si>
    <t>济南市</t>
    <phoneticPr fontId="1" type="noConversion"/>
  </si>
  <si>
    <t>济宁市</t>
    <phoneticPr fontId="1" type="noConversion"/>
  </si>
  <si>
    <t>淄博市</t>
    <phoneticPr fontId="1" type="noConversion"/>
  </si>
  <si>
    <t>滨州市</t>
    <phoneticPr fontId="1" type="noConversion"/>
  </si>
  <si>
    <t>潍坊市</t>
    <phoneticPr fontId="1" type="noConversion"/>
  </si>
  <si>
    <t>烟台市</t>
    <phoneticPr fontId="1" type="noConversion"/>
  </si>
  <si>
    <t>聊城市</t>
    <phoneticPr fontId="1" type="noConversion"/>
  </si>
  <si>
    <t>菏泽市</t>
    <phoneticPr fontId="1" type="noConversion"/>
  </si>
  <si>
    <t>青岛市</t>
    <phoneticPr fontId="1" type="noConversion"/>
  </si>
  <si>
    <t>乌鲁木齐市</t>
    <phoneticPr fontId="1" type="noConversion"/>
  </si>
  <si>
    <t>伊犁哈萨克自治州</t>
    <phoneticPr fontId="1" type="noConversion"/>
  </si>
  <si>
    <t>塔城地区</t>
    <phoneticPr fontId="1" type="noConversion"/>
  </si>
  <si>
    <t>巴音郭楞蒙古自治州</t>
    <phoneticPr fontId="1" type="noConversion"/>
  </si>
  <si>
    <t>昌吉回族自治州</t>
    <phoneticPr fontId="1" type="noConversion"/>
  </si>
  <si>
    <t>临沧市</t>
    <phoneticPr fontId="1" type="noConversion"/>
  </si>
  <si>
    <t>丽江市</t>
    <phoneticPr fontId="1" type="noConversion"/>
  </si>
  <si>
    <t>保山市</t>
    <phoneticPr fontId="1" type="noConversion"/>
  </si>
  <si>
    <t>大理白族自治州</t>
    <phoneticPr fontId="1" type="noConversion"/>
  </si>
  <si>
    <t>德宏傣族景颇族自治州</t>
    <phoneticPr fontId="1" type="noConversion"/>
  </si>
  <si>
    <t>文山壮族苗族自治州</t>
    <phoneticPr fontId="1" type="noConversion"/>
  </si>
  <si>
    <t>昆明市</t>
    <phoneticPr fontId="1" type="noConversion"/>
  </si>
  <si>
    <t>昭通市</t>
    <phoneticPr fontId="1" type="noConversion"/>
  </si>
  <si>
    <t>普洱市</t>
    <phoneticPr fontId="1" type="noConversion"/>
  </si>
  <si>
    <t>曲靖市</t>
    <phoneticPr fontId="1" type="noConversion"/>
  </si>
  <si>
    <t>楚雄彝族自治州</t>
    <phoneticPr fontId="1" type="noConversion"/>
  </si>
  <si>
    <t>玉溪市</t>
    <phoneticPr fontId="1" type="noConversion"/>
  </si>
  <si>
    <t>红河哈尼族彝族自治州</t>
    <phoneticPr fontId="1" type="noConversion"/>
  </si>
  <si>
    <t>西双版纳傣族自治州</t>
    <phoneticPr fontId="1" type="noConversion"/>
  </si>
  <si>
    <t>乐山市</t>
    <phoneticPr fontId="1" type="noConversion"/>
  </si>
  <si>
    <t>内江市</t>
    <phoneticPr fontId="1" type="noConversion"/>
  </si>
  <si>
    <t>凉山彝族自治州</t>
    <phoneticPr fontId="1" type="noConversion"/>
  </si>
  <si>
    <t>南充市</t>
    <phoneticPr fontId="1" type="noConversion"/>
  </si>
  <si>
    <t>宜宾市</t>
    <phoneticPr fontId="1" type="noConversion"/>
  </si>
  <si>
    <t>巴中市</t>
    <phoneticPr fontId="1" type="noConversion"/>
  </si>
  <si>
    <t>广元市</t>
    <phoneticPr fontId="1" type="noConversion"/>
  </si>
  <si>
    <t>广安市</t>
    <phoneticPr fontId="1" type="noConversion"/>
  </si>
  <si>
    <t>德阳市</t>
    <phoneticPr fontId="1" type="noConversion"/>
  </si>
  <si>
    <t>成都市</t>
    <phoneticPr fontId="1" type="noConversion"/>
  </si>
  <si>
    <t>攀枝花市</t>
    <phoneticPr fontId="1" type="noConversion"/>
  </si>
  <si>
    <t>泸州市</t>
    <phoneticPr fontId="1" type="noConversion"/>
  </si>
  <si>
    <t>甘孜藏族自治州</t>
  </si>
  <si>
    <t>眉山市</t>
    <phoneticPr fontId="1" type="noConversion"/>
  </si>
  <si>
    <t>绵阳市</t>
    <phoneticPr fontId="1" type="noConversion"/>
  </si>
  <si>
    <t>自贡市</t>
    <phoneticPr fontId="1" type="noConversion"/>
  </si>
  <si>
    <t>资阳市</t>
    <phoneticPr fontId="1" type="noConversion"/>
  </si>
  <si>
    <t>达州市</t>
    <phoneticPr fontId="1" type="noConversion"/>
  </si>
  <si>
    <t>遂宁市</t>
    <phoneticPr fontId="1" type="noConversion"/>
  </si>
  <si>
    <t>阿坝藏族羌族自治州</t>
  </si>
  <si>
    <t>雅安市</t>
    <phoneticPr fontId="1" type="noConversion"/>
  </si>
  <si>
    <t>上饶市</t>
    <phoneticPr fontId="1" type="noConversion"/>
  </si>
  <si>
    <t>九江市</t>
    <phoneticPr fontId="1" type="noConversion"/>
  </si>
  <si>
    <t>南昌市</t>
    <phoneticPr fontId="1" type="noConversion"/>
  </si>
  <si>
    <t>吉安市</t>
    <phoneticPr fontId="1" type="noConversion"/>
  </si>
  <si>
    <t>宜春市</t>
    <phoneticPr fontId="1" type="noConversion"/>
  </si>
  <si>
    <t>抚州市</t>
    <phoneticPr fontId="1" type="noConversion"/>
  </si>
  <si>
    <t>新余市</t>
    <phoneticPr fontId="1" type="noConversion"/>
  </si>
  <si>
    <t>景德镇市</t>
    <phoneticPr fontId="1" type="noConversion"/>
  </si>
  <si>
    <t>萍乡市</t>
    <phoneticPr fontId="1" type="noConversion"/>
  </si>
  <si>
    <t>赣州市</t>
    <phoneticPr fontId="1" type="noConversion"/>
  </si>
  <si>
    <t>鹰潭市</t>
    <phoneticPr fontId="1" type="noConversion"/>
  </si>
  <si>
    <t>三门峡市</t>
    <phoneticPr fontId="1" type="noConversion"/>
  </si>
  <si>
    <t>信阳市</t>
    <phoneticPr fontId="1" type="noConversion"/>
  </si>
  <si>
    <t>南阳市</t>
    <phoneticPr fontId="1" type="noConversion"/>
  </si>
  <si>
    <t>周口市</t>
    <phoneticPr fontId="1" type="noConversion"/>
  </si>
  <si>
    <t>商丘市</t>
    <phoneticPr fontId="1" type="noConversion"/>
  </si>
  <si>
    <t>安阳市</t>
    <phoneticPr fontId="1" type="noConversion"/>
  </si>
  <si>
    <t>平顶山市</t>
    <phoneticPr fontId="1" type="noConversion"/>
  </si>
  <si>
    <t>开封市</t>
    <phoneticPr fontId="1" type="noConversion"/>
  </si>
  <si>
    <t>新乡市</t>
    <phoneticPr fontId="1" type="noConversion"/>
  </si>
  <si>
    <t>洛阳市</t>
    <phoneticPr fontId="1" type="noConversion"/>
  </si>
  <si>
    <t>济源市</t>
    <phoneticPr fontId="1" type="noConversion"/>
  </si>
  <si>
    <t>漯河市</t>
    <phoneticPr fontId="1" type="noConversion"/>
  </si>
  <si>
    <t>濮阳市</t>
    <phoneticPr fontId="1" type="noConversion"/>
  </si>
  <si>
    <t>焦作市</t>
    <phoneticPr fontId="1" type="noConversion"/>
  </si>
  <si>
    <t>许昌市</t>
    <phoneticPr fontId="1" type="noConversion"/>
  </si>
  <si>
    <t>郑州市</t>
    <phoneticPr fontId="1" type="noConversion"/>
  </si>
  <si>
    <t>驻马店市</t>
    <phoneticPr fontId="1" type="noConversion"/>
  </si>
  <si>
    <t>鹤壁市</t>
    <phoneticPr fontId="1" type="noConversion"/>
  </si>
  <si>
    <t>娄底市</t>
    <phoneticPr fontId="1" type="noConversion"/>
  </si>
  <si>
    <t>岳阳市</t>
    <phoneticPr fontId="1" type="noConversion"/>
  </si>
  <si>
    <t>常德市</t>
    <phoneticPr fontId="1" type="noConversion"/>
  </si>
  <si>
    <t>张家界市</t>
    <phoneticPr fontId="1" type="noConversion"/>
  </si>
  <si>
    <t>怀化市</t>
    <phoneticPr fontId="1" type="noConversion"/>
  </si>
  <si>
    <t>株洲市</t>
    <phoneticPr fontId="1" type="noConversion"/>
  </si>
  <si>
    <t>永州市</t>
    <phoneticPr fontId="1" type="noConversion"/>
  </si>
  <si>
    <t>湘潭市</t>
    <phoneticPr fontId="1" type="noConversion"/>
  </si>
  <si>
    <t>益阳市</t>
    <phoneticPr fontId="1" type="noConversion"/>
  </si>
  <si>
    <t>衡阳市</t>
    <phoneticPr fontId="1" type="noConversion"/>
  </si>
  <si>
    <t>邵阳市</t>
    <phoneticPr fontId="1" type="noConversion"/>
  </si>
  <si>
    <t>郴州市</t>
    <phoneticPr fontId="1" type="noConversion"/>
  </si>
  <si>
    <t>长沙市</t>
    <phoneticPr fontId="1" type="noConversion"/>
  </si>
  <si>
    <t>北海市</t>
    <phoneticPr fontId="1" type="noConversion"/>
  </si>
  <si>
    <t>南宁市</t>
    <phoneticPr fontId="1" type="noConversion"/>
  </si>
  <si>
    <t>来宾市</t>
    <phoneticPr fontId="1" type="noConversion"/>
  </si>
  <si>
    <t>柳州市</t>
    <phoneticPr fontId="1" type="noConversion"/>
  </si>
  <si>
    <t>桂林市</t>
    <phoneticPr fontId="1" type="noConversion"/>
  </si>
  <si>
    <t>梧州市</t>
    <phoneticPr fontId="1" type="noConversion"/>
  </si>
  <si>
    <t>河池市</t>
    <phoneticPr fontId="1" type="noConversion"/>
  </si>
  <si>
    <t>玉林市</t>
    <phoneticPr fontId="1" type="noConversion"/>
  </si>
  <si>
    <t>百色市</t>
    <phoneticPr fontId="1" type="noConversion"/>
  </si>
  <si>
    <t>贵港市</t>
    <phoneticPr fontId="1" type="noConversion"/>
  </si>
  <si>
    <t>贺州市</t>
    <phoneticPr fontId="1" type="noConversion"/>
  </si>
  <si>
    <t>钦州市</t>
    <phoneticPr fontId="1" type="noConversion"/>
  </si>
  <si>
    <t>防城港市</t>
    <phoneticPr fontId="1" type="noConversion"/>
  </si>
  <si>
    <t>万宁市</t>
    <phoneticPr fontId="1" type="noConversion"/>
  </si>
  <si>
    <t>三亚市</t>
    <phoneticPr fontId="1" type="noConversion"/>
  </si>
  <si>
    <t>东方市</t>
    <phoneticPr fontId="1" type="noConversion"/>
  </si>
  <si>
    <t>儋州市</t>
    <phoneticPr fontId="1" type="noConversion"/>
  </si>
  <si>
    <t>文昌市</t>
    <phoneticPr fontId="1" type="noConversion"/>
  </si>
  <si>
    <t>海口市</t>
    <phoneticPr fontId="1" type="noConversion"/>
  </si>
  <si>
    <t>琼海市</t>
    <phoneticPr fontId="1" type="noConversion"/>
  </si>
  <si>
    <t>保定市</t>
    <phoneticPr fontId="1" type="noConversion"/>
  </si>
  <si>
    <t>唐山市</t>
    <phoneticPr fontId="1" type="noConversion"/>
  </si>
  <si>
    <t>廊坊市</t>
    <phoneticPr fontId="1" type="noConversion"/>
  </si>
  <si>
    <t>张家口市</t>
    <phoneticPr fontId="1" type="noConversion"/>
  </si>
  <si>
    <t>承德市</t>
    <phoneticPr fontId="1" type="noConversion"/>
  </si>
  <si>
    <t>沧州市</t>
    <phoneticPr fontId="1" type="noConversion"/>
  </si>
  <si>
    <t>石家庄市</t>
    <phoneticPr fontId="1" type="noConversion"/>
  </si>
  <si>
    <t>秦皇岛市</t>
    <phoneticPr fontId="1" type="noConversion"/>
  </si>
  <si>
    <t>衡水市</t>
    <phoneticPr fontId="1" type="noConversion"/>
  </si>
  <si>
    <t>邢台市</t>
    <phoneticPr fontId="1" type="noConversion"/>
  </si>
  <si>
    <t>邯郸市</t>
    <phoneticPr fontId="1" type="noConversion"/>
  </si>
  <si>
    <t>临汾市</t>
    <phoneticPr fontId="1" type="noConversion"/>
  </si>
  <si>
    <t>吕梁市</t>
    <phoneticPr fontId="1" type="noConversion"/>
  </si>
  <si>
    <t>大同市</t>
    <phoneticPr fontId="1" type="noConversion"/>
  </si>
  <si>
    <t>太原市</t>
    <phoneticPr fontId="1" type="noConversion"/>
  </si>
  <si>
    <t>忻州市</t>
    <phoneticPr fontId="1" type="noConversion"/>
  </si>
  <si>
    <t>晋中市</t>
    <phoneticPr fontId="1" type="noConversion"/>
  </si>
  <si>
    <t>晋城市</t>
    <phoneticPr fontId="1" type="noConversion"/>
  </si>
  <si>
    <t>朔州市</t>
    <phoneticPr fontId="1" type="noConversion"/>
  </si>
  <si>
    <t>运城市</t>
    <phoneticPr fontId="1" type="noConversion"/>
  </si>
  <si>
    <t>长治市</t>
    <phoneticPr fontId="1" type="noConversion"/>
  </si>
  <si>
    <t>阳泉市</t>
    <phoneticPr fontId="1" type="noConversion"/>
  </si>
  <si>
    <t>咸阳市</t>
    <phoneticPr fontId="1" type="noConversion"/>
  </si>
  <si>
    <t>商洛市</t>
    <phoneticPr fontId="1" type="noConversion"/>
  </si>
  <si>
    <t>安康市</t>
    <phoneticPr fontId="1" type="noConversion"/>
  </si>
  <si>
    <t>宝鸡市</t>
    <phoneticPr fontId="1" type="noConversion"/>
  </si>
  <si>
    <t>延安市</t>
    <phoneticPr fontId="1" type="noConversion"/>
  </si>
  <si>
    <t>榆林市</t>
    <phoneticPr fontId="1" type="noConversion"/>
  </si>
  <si>
    <t>汉中市</t>
    <phoneticPr fontId="1" type="noConversion"/>
  </si>
  <si>
    <t>渭南市</t>
    <phoneticPr fontId="1" type="noConversion"/>
  </si>
  <si>
    <t>西安市</t>
    <phoneticPr fontId="1" type="noConversion"/>
  </si>
  <si>
    <t>铜川市</t>
    <phoneticPr fontId="1" type="noConversion"/>
  </si>
  <si>
    <t>六盘水市</t>
    <phoneticPr fontId="1" type="noConversion"/>
  </si>
  <si>
    <t>安顺市</t>
    <phoneticPr fontId="1" type="noConversion"/>
  </si>
  <si>
    <t>毕节市</t>
    <phoneticPr fontId="1" type="noConversion"/>
  </si>
  <si>
    <t>贵阳市</t>
    <phoneticPr fontId="1" type="noConversion"/>
  </si>
  <si>
    <t>遵义市</t>
    <phoneticPr fontId="1" type="noConversion"/>
  </si>
  <si>
    <t>铜仁市</t>
    <phoneticPr fontId="1" type="noConversion"/>
  </si>
  <si>
    <t>甘肃省</t>
    <phoneticPr fontId="1" type="noConversion"/>
  </si>
  <si>
    <t>火车站数量</t>
    <phoneticPr fontId="1" type="noConversion"/>
  </si>
  <si>
    <t>机场数量</t>
    <phoneticPr fontId="1" type="noConversion"/>
  </si>
  <si>
    <t>城市总人口(万人)</t>
    <phoneticPr fontId="1" type="noConversion"/>
  </si>
  <si>
    <t>面积(平方公里)</t>
    <phoneticPr fontId="1" type="noConversion"/>
  </si>
  <si>
    <t>人口密度</t>
    <phoneticPr fontId="1" type="noConversion"/>
  </si>
  <si>
    <t>每千人病床</t>
    <phoneticPr fontId="1" type="noConversion"/>
  </si>
  <si>
    <t>交通量密度(31天内平均出行强度)</t>
    <phoneticPr fontId="1" type="noConversion"/>
  </si>
  <si>
    <t>人口流动控制强度百分比</t>
    <phoneticPr fontId="1" type="noConversion"/>
  </si>
  <si>
    <t>31天迁出流量平均值</t>
    <phoneticPr fontId="1" type="noConversion"/>
  </si>
  <si>
    <t>31天迁入流量平均值</t>
    <phoneticPr fontId="1" type="noConversion"/>
  </si>
  <si>
    <t>贵州省</t>
    <phoneticPr fontId="1" type="noConversion"/>
  </si>
  <si>
    <t>陕西省</t>
    <phoneticPr fontId="1" type="noConversion"/>
  </si>
  <si>
    <t>山西省</t>
    <phoneticPr fontId="1" type="noConversion"/>
  </si>
  <si>
    <t>河北省</t>
    <phoneticPr fontId="1" type="noConversion"/>
  </si>
  <si>
    <t>海南省</t>
    <phoneticPr fontId="1" type="noConversion"/>
  </si>
  <si>
    <t>湖南省</t>
    <phoneticPr fontId="1" type="noConversion"/>
  </si>
  <si>
    <t>河南省</t>
    <phoneticPr fontId="1" type="noConversion"/>
  </si>
  <si>
    <t>江西省</t>
    <phoneticPr fontId="1" type="noConversion"/>
  </si>
  <si>
    <t>四川省</t>
    <phoneticPr fontId="1" type="noConversion"/>
  </si>
  <si>
    <t>云南省</t>
    <phoneticPr fontId="1" type="noConversion"/>
  </si>
  <si>
    <t>新疆维吾尔自治区</t>
    <phoneticPr fontId="1" type="noConversion"/>
  </si>
  <si>
    <t>山东省</t>
    <phoneticPr fontId="1" type="noConversion"/>
  </si>
  <si>
    <t>福建省</t>
    <phoneticPr fontId="1" type="noConversion"/>
  </si>
  <si>
    <t>辽宁省</t>
    <phoneticPr fontId="1" type="noConversion"/>
  </si>
  <si>
    <t>黑龙江省</t>
    <phoneticPr fontId="1" type="noConversion"/>
  </si>
  <si>
    <t>宁夏回族自治区</t>
    <phoneticPr fontId="1" type="noConversion"/>
  </si>
  <si>
    <t>内蒙古自治区</t>
    <phoneticPr fontId="1" type="noConversion"/>
  </si>
  <si>
    <t>广西壮族自治区</t>
    <phoneticPr fontId="1" type="noConversion"/>
  </si>
  <si>
    <r>
      <rPr>
        <sz val="11"/>
        <color rgb="FF000000"/>
        <rFont val="等线"/>
        <family val="2"/>
        <charset val="134"/>
        <scheme val="minor"/>
      </rPr>
      <t>地区生产总值</t>
    </r>
    <r>
      <rPr>
        <sz val="11"/>
        <color rgb="FF000000"/>
        <rFont val="Calibri"/>
        <family val="2"/>
      </rPr>
      <t>(</t>
    </r>
    <r>
      <rPr>
        <sz val="11"/>
        <color rgb="FF000000"/>
        <rFont val="Microsoft YaHei UI"/>
        <family val="2"/>
        <charset val="134"/>
      </rPr>
      <t>当年价格）</t>
    </r>
    <r>
      <rPr>
        <sz val="11"/>
        <color rgb="FF000000"/>
        <rFont val="Calibri"/>
        <family val="2"/>
      </rPr>
      <t>(</t>
    </r>
    <r>
      <rPr>
        <sz val="11"/>
        <color rgb="FF000000"/>
        <rFont val="Microsoft YaHei UI"/>
        <family val="2"/>
        <charset val="134"/>
      </rPr>
      <t>亿元）</t>
    </r>
    <phoneticPr fontId="1" type="noConversion"/>
  </si>
  <si>
    <t>医院数量(个)</t>
    <phoneticPr fontId="1" type="noConversion"/>
  </si>
  <si>
    <t>医院床位数(张）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</si>
</sst>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000000"/>
      <name val="等线"/>
      <family val="2"/>
      <charset val="134"/>
      <scheme val="minor"/>
    </font>
    <font>
      <sz val="11"/>
      <color rgb="FF000000"/>
      <name val="Calibri"/>
      <family val="2"/>
    </font>
    <font>
      <sz val="11"/>
      <color rgb="FF000000"/>
      <name val="Microsoft YaHei UI"/>
      <family val="2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8"/>
  <sheetViews>
    <sheetView tabSelected="1" workbookViewId="0">
      <selection activeCell="B48" sqref="B48"/>
    </sheetView>
  </sheetViews>
  <sheetFormatPr defaultRowHeight="14.5" x14ac:dyDescent="0.3"/>
  <cols>
    <col min="1" max="1" width="17.75" style="6" bestFit="1" customWidth="1"/>
    <col min="2" max="2" width="23.1640625" style="6" bestFit="1" customWidth="1"/>
    <col min="3" max="13" width="12" bestFit="1" customWidth="1"/>
    <col min="14" max="22" width="10.75" bestFit="1" customWidth="1"/>
    <col min="23" max="33" width="12" bestFit="1" customWidth="1"/>
  </cols>
  <sheetData>
    <row r="1" spans="1:33" ht="15" x14ac:dyDescent="0.3">
      <c r="A1" s="1" t="s">
        <v>21</v>
      </c>
      <c r="B1" s="1" t="s">
        <v>22</v>
      </c>
      <c r="C1" s="2">
        <v>43851</v>
      </c>
      <c r="D1" s="2">
        <v>43852</v>
      </c>
      <c r="E1" s="2">
        <v>43853</v>
      </c>
      <c r="F1" s="2">
        <v>43854</v>
      </c>
      <c r="G1" s="2">
        <v>43855</v>
      </c>
      <c r="H1" s="2">
        <v>43856</v>
      </c>
      <c r="I1" s="2">
        <v>43857</v>
      </c>
      <c r="J1" s="2">
        <v>43858</v>
      </c>
      <c r="K1" s="2">
        <v>43859</v>
      </c>
      <c r="L1" s="2">
        <v>43860</v>
      </c>
      <c r="M1" s="2">
        <v>43861</v>
      </c>
      <c r="N1" s="2">
        <v>43862</v>
      </c>
      <c r="O1" s="2">
        <v>43863</v>
      </c>
      <c r="P1" s="2">
        <v>43864</v>
      </c>
      <c r="Q1" s="2">
        <v>43865</v>
      </c>
      <c r="R1" s="2">
        <v>43866</v>
      </c>
      <c r="S1" s="2">
        <v>43867</v>
      </c>
      <c r="T1" s="2">
        <v>43868</v>
      </c>
      <c r="U1" s="2">
        <v>43869</v>
      </c>
      <c r="V1" s="2">
        <v>43870</v>
      </c>
      <c r="W1" s="2">
        <v>43871</v>
      </c>
      <c r="X1" s="2">
        <v>43872</v>
      </c>
      <c r="Y1" s="2">
        <v>43873</v>
      </c>
      <c r="Z1" s="2">
        <v>43874</v>
      </c>
      <c r="AA1" s="2">
        <v>43875</v>
      </c>
      <c r="AB1" s="2">
        <v>43876</v>
      </c>
      <c r="AC1" s="2">
        <v>43877</v>
      </c>
      <c r="AD1" s="2">
        <v>43878</v>
      </c>
      <c r="AE1" s="2">
        <v>43879</v>
      </c>
      <c r="AF1" s="2">
        <v>43880</v>
      </c>
      <c r="AG1" s="2">
        <v>43881</v>
      </c>
    </row>
    <row r="2" spans="1:33" ht="15" x14ac:dyDescent="0.3">
      <c r="A2" s="1" t="s">
        <v>53</v>
      </c>
      <c r="B2" s="1" t="s">
        <v>54</v>
      </c>
      <c r="C2" s="1">
        <v>0</v>
      </c>
      <c r="D2" s="1">
        <v>0</v>
      </c>
      <c r="E2" s="1">
        <v>0</v>
      </c>
      <c r="F2" s="1">
        <v>1</v>
      </c>
      <c r="G2" s="1">
        <v>3</v>
      </c>
      <c r="H2" s="1">
        <v>1</v>
      </c>
      <c r="I2" s="1">
        <v>3</v>
      </c>
      <c r="J2" s="1">
        <v>0</v>
      </c>
      <c r="K2" s="1">
        <v>10</v>
      </c>
      <c r="L2" s="1">
        <v>6</v>
      </c>
      <c r="M2" s="1">
        <v>0</v>
      </c>
      <c r="N2" s="1">
        <v>13</v>
      </c>
      <c r="O2" s="1">
        <v>6</v>
      </c>
      <c r="P2" s="1">
        <v>4</v>
      </c>
      <c r="Q2" s="1">
        <v>8</v>
      </c>
      <c r="R2" s="1">
        <v>1</v>
      </c>
      <c r="S2" s="1">
        <v>4</v>
      </c>
      <c r="T2" s="1">
        <v>6</v>
      </c>
      <c r="U2" s="1">
        <v>5</v>
      </c>
      <c r="V2" s="1">
        <v>4</v>
      </c>
      <c r="W2" s="1">
        <v>3</v>
      </c>
      <c r="X2" s="1">
        <v>2</v>
      </c>
      <c r="Y2" s="1">
        <v>0</v>
      </c>
      <c r="Z2" s="1">
        <v>0</v>
      </c>
      <c r="AA2" s="1">
        <v>1</v>
      </c>
      <c r="AB2" s="1">
        <v>1</v>
      </c>
      <c r="AC2" s="1">
        <v>0</v>
      </c>
      <c r="AD2" s="1">
        <v>1</v>
      </c>
      <c r="AE2" s="1">
        <v>0</v>
      </c>
      <c r="AF2" s="1">
        <v>0</v>
      </c>
      <c r="AG2" s="1">
        <v>0</v>
      </c>
    </row>
    <row r="3" spans="1:33" ht="15" x14ac:dyDescent="0.3">
      <c r="A3" s="1" t="s">
        <v>53</v>
      </c>
      <c r="B3" s="1" t="s">
        <v>55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2</v>
      </c>
      <c r="J3" s="1">
        <v>0</v>
      </c>
      <c r="K3" s="1">
        <v>0</v>
      </c>
      <c r="L3" s="1">
        <v>5</v>
      </c>
      <c r="M3" s="1">
        <v>7</v>
      </c>
      <c r="N3" s="1">
        <v>1</v>
      </c>
      <c r="O3" s="1">
        <v>10</v>
      </c>
      <c r="P3" s="1">
        <v>11</v>
      </c>
      <c r="Q3" s="1">
        <v>6</v>
      </c>
      <c r="R3" s="1">
        <v>5</v>
      </c>
      <c r="S3" s="1">
        <v>16</v>
      </c>
      <c r="T3" s="1">
        <v>24</v>
      </c>
      <c r="U3" s="1">
        <v>11</v>
      </c>
      <c r="V3" s="1">
        <v>16</v>
      </c>
      <c r="W3" s="1">
        <v>11</v>
      </c>
      <c r="X3" s="1">
        <v>8</v>
      </c>
      <c r="Y3" s="1">
        <v>7</v>
      </c>
      <c r="Z3" s="1">
        <v>5</v>
      </c>
      <c r="AA3" s="1">
        <v>3</v>
      </c>
      <c r="AB3" s="1">
        <v>4</v>
      </c>
      <c r="AC3" s="1">
        <v>4</v>
      </c>
      <c r="AD3" s="1">
        <v>1</v>
      </c>
      <c r="AE3" s="1">
        <v>0</v>
      </c>
      <c r="AF3" s="1">
        <v>1</v>
      </c>
      <c r="AG3" s="1">
        <v>1</v>
      </c>
    </row>
    <row r="4" spans="1:33" ht="15" x14ac:dyDescent="0.3">
      <c r="A4" s="1" t="s">
        <v>53</v>
      </c>
      <c r="B4" s="1" t="s">
        <v>56</v>
      </c>
      <c r="C4" s="1">
        <v>0</v>
      </c>
      <c r="D4" s="1">
        <v>0</v>
      </c>
      <c r="E4" s="1">
        <v>1</v>
      </c>
      <c r="F4" s="1">
        <v>0</v>
      </c>
      <c r="G4" s="1">
        <v>3</v>
      </c>
      <c r="H4" s="1">
        <v>2</v>
      </c>
      <c r="I4" s="1">
        <v>0</v>
      </c>
      <c r="J4" s="1">
        <v>2</v>
      </c>
      <c r="K4" s="1">
        <v>7</v>
      </c>
      <c r="L4" s="1">
        <v>5</v>
      </c>
      <c r="M4" s="1">
        <v>0</v>
      </c>
      <c r="N4" s="1">
        <v>5</v>
      </c>
      <c r="O4" s="1">
        <v>5</v>
      </c>
      <c r="P4" s="1">
        <v>9</v>
      </c>
      <c r="Q4" s="1">
        <v>9</v>
      </c>
      <c r="R4" s="1">
        <v>10</v>
      </c>
      <c r="S4" s="1">
        <v>8</v>
      </c>
      <c r="T4" s="1">
        <v>6</v>
      </c>
      <c r="U4" s="1">
        <v>9</v>
      </c>
      <c r="V4" s="1">
        <v>6</v>
      </c>
      <c r="W4" s="1">
        <v>5</v>
      </c>
      <c r="X4" s="1">
        <v>0</v>
      </c>
      <c r="Y4" s="1">
        <v>5</v>
      </c>
      <c r="Z4" s="1">
        <v>3</v>
      </c>
      <c r="AA4" s="1">
        <v>6</v>
      </c>
      <c r="AB4" s="1">
        <v>1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</row>
    <row r="5" spans="1:33" ht="15" x14ac:dyDescent="0.3">
      <c r="A5" s="1" t="s">
        <v>53</v>
      </c>
      <c r="B5" s="1" t="s">
        <v>57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2</v>
      </c>
      <c r="N5" s="1">
        <v>0</v>
      </c>
      <c r="O5" s="1">
        <v>2</v>
      </c>
      <c r="P5" s="1">
        <v>0</v>
      </c>
      <c r="Q5" s="1">
        <v>4</v>
      </c>
      <c r="R5" s="1">
        <v>1</v>
      </c>
      <c r="S5" s="1">
        <v>0</v>
      </c>
      <c r="T5" s="1">
        <v>0</v>
      </c>
      <c r="U5" s="1">
        <v>0</v>
      </c>
      <c r="V5" s="1">
        <v>1</v>
      </c>
      <c r="W5" s="1">
        <v>3</v>
      </c>
      <c r="X5" s="1">
        <v>0</v>
      </c>
      <c r="Y5" s="1">
        <v>1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t="15" x14ac:dyDescent="0.3">
      <c r="A6" s="1" t="s">
        <v>53</v>
      </c>
      <c r="B6" s="1" t="s">
        <v>58</v>
      </c>
      <c r="C6" s="1">
        <v>0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2</v>
      </c>
      <c r="K6" s="1">
        <v>0</v>
      </c>
      <c r="L6" s="1">
        <v>0</v>
      </c>
      <c r="M6" s="1">
        <v>0</v>
      </c>
      <c r="N6" s="1">
        <v>2</v>
      </c>
      <c r="O6" s="1">
        <v>0</v>
      </c>
      <c r="P6" s="1">
        <v>2</v>
      </c>
      <c r="Q6" s="1">
        <v>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ht="15" x14ac:dyDescent="0.3">
      <c r="A7" s="1" t="s">
        <v>53</v>
      </c>
      <c r="B7" s="1" t="s">
        <v>59</v>
      </c>
      <c r="C7" s="1">
        <v>0</v>
      </c>
      <c r="D7" s="1">
        <v>0</v>
      </c>
      <c r="E7" s="1">
        <v>1</v>
      </c>
      <c r="F7" s="1">
        <v>1</v>
      </c>
      <c r="G7" s="1">
        <v>5</v>
      </c>
      <c r="H7" s="1">
        <v>3</v>
      </c>
      <c r="I7" s="1">
        <v>0</v>
      </c>
      <c r="J7" s="1">
        <v>11</v>
      </c>
      <c r="K7" s="1">
        <v>2</v>
      </c>
      <c r="L7" s="1">
        <v>5</v>
      </c>
      <c r="M7" s="1">
        <v>10</v>
      </c>
      <c r="N7" s="1">
        <v>9</v>
      </c>
      <c r="O7" s="1">
        <v>12</v>
      </c>
      <c r="P7" s="1">
        <v>6</v>
      </c>
      <c r="Q7" s="1">
        <v>14</v>
      </c>
      <c r="R7" s="1">
        <v>5</v>
      </c>
      <c r="S7" s="1">
        <v>11</v>
      </c>
      <c r="T7" s="1">
        <v>10</v>
      </c>
      <c r="U7" s="1">
        <v>8</v>
      </c>
      <c r="V7" s="1">
        <v>5</v>
      </c>
      <c r="W7" s="1">
        <v>7</v>
      </c>
      <c r="X7" s="1">
        <v>7</v>
      </c>
      <c r="Y7" s="1">
        <v>6</v>
      </c>
      <c r="Z7" s="1">
        <v>4</v>
      </c>
      <c r="AA7" s="1">
        <v>4</v>
      </c>
      <c r="AB7" s="1">
        <v>4</v>
      </c>
      <c r="AC7" s="1">
        <v>2</v>
      </c>
      <c r="AD7" s="1">
        <v>1</v>
      </c>
      <c r="AE7" s="1">
        <v>1</v>
      </c>
      <c r="AF7" s="1">
        <v>1</v>
      </c>
      <c r="AG7" s="1">
        <v>0</v>
      </c>
    </row>
    <row r="8" spans="1:33" ht="15" x14ac:dyDescent="0.3">
      <c r="A8" s="1" t="s">
        <v>53</v>
      </c>
      <c r="B8" s="1" t="s">
        <v>60</v>
      </c>
      <c r="C8" s="1">
        <v>0</v>
      </c>
      <c r="D8" s="1">
        <v>1</v>
      </c>
      <c r="E8" s="1">
        <v>1</v>
      </c>
      <c r="F8" s="1">
        <v>2</v>
      </c>
      <c r="G8" s="1">
        <v>3</v>
      </c>
      <c r="H8" s="1">
        <v>6</v>
      </c>
      <c r="I8" s="1">
        <v>0</v>
      </c>
      <c r="J8" s="1">
        <v>3</v>
      </c>
      <c r="K8" s="1">
        <v>13</v>
      </c>
      <c r="L8" s="1">
        <v>10</v>
      </c>
      <c r="M8" s="1">
        <v>11</v>
      </c>
      <c r="N8" s="1">
        <v>9</v>
      </c>
      <c r="O8" s="1">
        <v>0</v>
      </c>
      <c r="P8" s="1">
        <v>16</v>
      </c>
      <c r="Q8" s="1">
        <v>6</v>
      </c>
      <c r="R8" s="1">
        <v>12</v>
      </c>
      <c r="S8" s="1">
        <v>11</v>
      </c>
      <c r="T8" s="1">
        <v>11</v>
      </c>
      <c r="U8" s="1">
        <v>13</v>
      </c>
      <c r="V8" s="1">
        <v>8</v>
      </c>
      <c r="W8" s="1">
        <v>11</v>
      </c>
      <c r="X8" s="1">
        <v>3</v>
      </c>
      <c r="Y8" s="1">
        <v>7</v>
      </c>
      <c r="Z8" s="1">
        <v>4</v>
      </c>
      <c r="AA8" s="1">
        <v>5</v>
      </c>
      <c r="AB8" s="1">
        <v>2</v>
      </c>
      <c r="AC8" s="1">
        <v>1</v>
      </c>
      <c r="AD8" s="1">
        <v>2</v>
      </c>
      <c r="AE8" s="1">
        <v>2</v>
      </c>
      <c r="AF8" s="1">
        <v>0</v>
      </c>
      <c r="AG8" s="1">
        <v>0</v>
      </c>
    </row>
    <row r="9" spans="1:33" ht="15" x14ac:dyDescent="0.3">
      <c r="A9" s="1" t="s">
        <v>53</v>
      </c>
      <c r="B9" s="1" t="s">
        <v>61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4</v>
      </c>
      <c r="O9" s="1">
        <v>0</v>
      </c>
      <c r="P9" s="1">
        <v>2</v>
      </c>
      <c r="Q9" s="1">
        <v>3</v>
      </c>
      <c r="R9" s="1">
        <v>3</v>
      </c>
      <c r="S9" s="1">
        <v>3</v>
      </c>
      <c r="T9" s="1">
        <v>5</v>
      </c>
      <c r="U9" s="1">
        <v>0</v>
      </c>
      <c r="V9" s="1">
        <v>1</v>
      </c>
      <c r="W9" s="1">
        <v>0</v>
      </c>
      <c r="X9" s="1">
        <v>1</v>
      </c>
      <c r="Y9" s="1">
        <v>0</v>
      </c>
      <c r="Z9" s="1">
        <v>1</v>
      </c>
      <c r="AA9" s="1">
        <v>0</v>
      </c>
      <c r="AB9" s="1">
        <v>1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</row>
    <row r="10" spans="1:33" ht="15" x14ac:dyDescent="0.3">
      <c r="A10" s="1" t="s">
        <v>53</v>
      </c>
      <c r="B10" s="1" t="s">
        <v>62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4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4</v>
      </c>
      <c r="S10" s="1">
        <v>0</v>
      </c>
      <c r="T10" s="1">
        <v>2</v>
      </c>
      <c r="U10" s="1">
        <v>7</v>
      </c>
      <c r="V10" s="1">
        <v>1</v>
      </c>
      <c r="W10" s="1">
        <v>1</v>
      </c>
      <c r="X10" s="1">
        <v>1</v>
      </c>
      <c r="Y10" s="1">
        <v>0</v>
      </c>
      <c r="Z10" s="1">
        <v>1</v>
      </c>
      <c r="AA10" s="1">
        <v>0</v>
      </c>
      <c r="AB10" s="1">
        <v>0</v>
      </c>
      <c r="AC10" s="1">
        <v>1</v>
      </c>
      <c r="AD10" s="1">
        <v>1</v>
      </c>
      <c r="AE10" s="1">
        <v>2</v>
      </c>
      <c r="AF10" s="1">
        <v>0</v>
      </c>
      <c r="AG10" s="1">
        <v>0</v>
      </c>
    </row>
    <row r="11" spans="1:33" ht="15" x14ac:dyDescent="0.3">
      <c r="A11" s="1" t="s">
        <v>53</v>
      </c>
      <c r="B11" s="1" t="s">
        <v>63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3</v>
      </c>
      <c r="K11" s="1">
        <v>3</v>
      </c>
      <c r="L11" s="1">
        <v>0</v>
      </c>
      <c r="M11" s="1">
        <v>2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t="15" x14ac:dyDescent="0.3">
      <c r="A12" s="1" t="s">
        <v>53</v>
      </c>
      <c r="B12" s="1" t="s">
        <v>64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4</v>
      </c>
      <c r="K12" s="1">
        <v>2</v>
      </c>
      <c r="L12" s="1">
        <v>2</v>
      </c>
      <c r="M12" s="1">
        <v>1</v>
      </c>
      <c r="N12" s="1">
        <v>4</v>
      </c>
      <c r="O12" s="1">
        <v>0</v>
      </c>
      <c r="P12" s="1">
        <v>7</v>
      </c>
      <c r="Q12" s="1">
        <v>10</v>
      </c>
      <c r="R12" s="1">
        <v>4</v>
      </c>
      <c r="S12" s="1">
        <v>2</v>
      </c>
      <c r="T12" s="1">
        <v>5</v>
      </c>
      <c r="U12" s="1">
        <v>10</v>
      </c>
      <c r="V12" s="1">
        <v>3</v>
      </c>
      <c r="W12" s="1">
        <v>3</v>
      </c>
      <c r="X12" s="1">
        <v>2</v>
      </c>
      <c r="Y12" s="1">
        <v>0</v>
      </c>
      <c r="Z12" s="1">
        <v>1</v>
      </c>
      <c r="AA12" s="1">
        <v>1</v>
      </c>
      <c r="AB12" s="1">
        <v>2</v>
      </c>
      <c r="AC12" s="1">
        <v>2</v>
      </c>
      <c r="AD12" s="1">
        <v>3</v>
      </c>
      <c r="AE12" s="1">
        <v>0</v>
      </c>
      <c r="AF12" s="1">
        <v>1</v>
      </c>
      <c r="AG12" s="1">
        <v>0</v>
      </c>
    </row>
    <row r="13" spans="1:33" ht="15" x14ac:dyDescent="0.3">
      <c r="A13" s="1" t="s">
        <v>53</v>
      </c>
      <c r="B13" s="1" t="s">
        <v>65</v>
      </c>
      <c r="C13" s="1">
        <v>0</v>
      </c>
      <c r="D13" s="1">
        <v>0</v>
      </c>
      <c r="E13" s="1">
        <v>0</v>
      </c>
      <c r="F13" s="1">
        <v>0</v>
      </c>
      <c r="G13" s="1">
        <v>4</v>
      </c>
      <c r="H13" s="1">
        <v>3</v>
      </c>
      <c r="I13" s="1">
        <v>0</v>
      </c>
      <c r="J13" s="1">
        <v>3</v>
      </c>
      <c r="K13" s="1">
        <v>1</v>
      </c>
      <c r="L13" s="1">
        <v>3</v>
      </c>
      <c r="M13" s="1">
        <v>0</v>
      </c>
      <c r="N13" s="1">
        <v>8</v>
      </c>
      <c r="O13" s="1">
        <v>5</v>
      </c>
      <c r="P13" s="1">
        <v>1</v>
      </c>
      <c r="Q13" s="1">
        <v>0</v>
      </c>
      <c r="R13" s="1">
        <v>2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2</v>
      </c>
      <c r="AB13" s="1">
        <v>1</v>
      </c>
      <c r="AC13" s="1">
        <v>1</v>
      </c>
      <c r="AD13" s="1">
        <v>0</v>
      </c>
      <c r="AE13" s="1">
        <v>0</v>
      </c>
      <c r="AF13" s="1">
        <v>1</v>
      </c>
      <c r="AG13" s="1">
        <v>0</v>
      </c>
    </row>
    <row r="14" spans="1:33" ht="15" x14ac:dyDescent="0.3">
      <c r="A14" s="1" t="s">
        <v>53</v>
      </c>
      <c r="B14" s="1" t="s">
        <v>66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1</v>
      </c>
      <c r="J14" s="1">
        <v>0</v>
      </c>
      <c r="K14" s="1">
        <v>6</v>
      </c>
      <c r="L14" s="1">
        <v>1</v>
      </c>
      <c r="M14" s="1">
        <v>0</v>
      </c>
      <c r="N14" s="1">
        <v>2</v>
      </c>
      <c r="O14" s="1">
        <v>2</v>
      </c>
      <c r="P14" s="1">
        <v>7</v>
      </c>
      <c r="Q14" s="1">
        <v>2</v>
      </c>
      <c r="R14" s="1">
        <v>1</v>
      </c>
      <c r="S14" s="1">
        <v>1</v>
      </c>
      <c r="T14" s="1">
        <v>2</v>
      </c>
      <c r="U14" s="1">
        <v>1</v>
      </c>
      <c r="V14" s="1">
        <v>0</v>
      </c>
      <c r="W14" s="1">
        <v>3</v>
      </c>
      <c r="X14" s="1">
        <v>2</v>
      </c>
      <c r="Y14" s="1">
        <v>3</v>
      </c>
      <c r="Z14" s="1">
        <v>2</v>
      </c>
      <c r="AA14" s="1">
        <v>1</v>
      </c>
      <c r="AB14" s="1">
        <v>0</v>
      </c>
      <c r="AC14" s="1">
        <v>0</v>
      </c>
      <c r="AD14" s="1">
        <v>1</v>
      </c>
      <c r="AE14" s="1">
        <v>1</v>
      </c>
      <c r="AF14" s="1">
        <v>0</v>
      </c>
      <c r="AG14" s="1">
        <v>0</v>
      </c>
    </row>
    <row r="15" spans="1:33" ht="15" x14ac:dyDescent="0.3">
      <c r="A15" s="1" t="s">
        <v>53</v>
      </c>
      <c r="B15" s="1" t="s">
        <v>67</v>
      </c>
      <c r="C15" s="1">
        <v>0</v>
      </c>
      <c r="D15" s="1">
        <v>0</v>
      </c>
      <c r="E15" s="1">
        <v>0</v>
      </c>
      <c r="F15" s="1">
        <v>0</v>
      </c>
      <c r="G15" s="1">
        <v>3</v>
      </c>
      <c r="H15" s="1">
        <v>0</v>
      </c>
      <c r="I15" s="1">
        <v>0</v>
      </c>
      <c r="J15" s="1">
        <v>6</v>
      </c>
      <c r="K15" s="1">
        <v>0</v>
      </c>
      <c r="L15" s="1">
        <v>1</v>
      </c>
      <c r="M15" s="1">
        <v>4</v>
      </c>
      <c r="N15" s="1">
        <v>2</v>
      </c>
      <c r="O15" s="1">
        <v>0</v>
      </c>
      <c r="P15" s="1">
        <v>2</v>
      </c>
      <c r="Q15" s="1">
        <v>1</v>
      </c>
      <c r="R15" s="1">
        <v>0</v>
      </c>
      <c r="S15" s="1">
        <v>1</v>
      </c>
      <c r="T15" s="1">
        <v>2</v>
      </c>
      <c r="U15" s="1">
        <v>1</v>
      </c>
      <c r="V15" s="1">
        <v>1</v>
      </c>
      <c r="W15" s="1">
        <v>1</v>
      </c>
      <c r="X15" s="1">
        <v>2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</row>
    <row r="16" spans="1:33" ht="15" x14ac:dyDescent="0.3">
      <c r="A16" s="1" t="s">
        <v>53</v>
      </c>
      <c r="B16" s="1" t="s">
        <v>68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2</v>
      </c>
      <c r="I16" s="1">
        <v>3</v>
      </c>
      <c r="J16" s="1">
        <v>3</v>
      </c>
      <c r="K16" s="1">
        <v>2</v>
      </c>
      <c r="L16" s="1">
        <v>3</v>
      </c>
      <c r="M16" s="1">
        <v>0</v>
      </c>
      <c r="N16" s="1">
        <v>1</v>
      </c>
      <c r="O16" s="1">
        <v>1</v>
      </c>
      <c r="P16" s="1">
        <v>0</v>
      </c>
      <c r="Q16" s="1">
        <v>5</v>
      </c>
      <c r="R16" s="1">
        <v>2</v>
      </c>
      <c r="S16" s="1">
        <v>3</v>
      </c>
      <c r="T16" s="1">
        <v>1</v>
      </c>
      <c r="U16" s="1">
        <v>2</v>
      </c>
      <c r="V16" s="1">
        <v>0</v>
      </c>
      <c r="W16" s="1">
        <v>1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2</v>
      </c>
      <c r="AF16" s="1">
        <v>0</v>
      </c>
      <c r="AG16" s="1">
        <v>0</v>
      </c>
    </row>
    <row r="17" spans="1:33" ht="15" x14ac:dyDescent="0.3">
      <c r="A17" s="1" t="s">
        <v>53</v>
      </c>
      <c r="B17" s="1" t="s">
        <v>69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1">
        <v>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 spans="1:33" ht="15" x14ac:dyDescent="0.3">
      <c r="A18" s="1" t="s">
        <v>24</v>
      </c>
      <c r="B18" s="1" t="s">
        <v>24</v>
      </c>
      <c r="C18" s="3">
        <v>8</v>
      </c>
      <c r="D18" s="3">
        <v>4</v>
      </c>
      <c r="E18" s="3">
        <v>8</v>
      </c>
      <c r="F18" s="4">
        <v>14</v>
      </c>
      <c r="G18" s="4">
        <v>5</v>
      </c>
      <c r="H18" s="4">
        <v>27</v>
      </c>
      <c r="I18" s="4">
        <v>12</v>
      </c>
      <c r="J18" s="4">
        <v>11</v>
      </c>
      <c r="K18" s="4">
        <v>20</v>
      </c>
      <c r="L18" s="4">
        <v>3</v>
      </c>
      <c r="M18" s="4">
        <v>25</v>
      </c>
      <c r="N18" s="4">
        <v>29</v>
      </c>
      <c r="O18" s="4">
        <v>23</v>
      </c>
      <c r="P18" s="4">
        <v>21</v>
      </c>
      <c r="Q18" s="4">
        <v>16</v>
      </c>
      <c r="R18" s="4">
        <v>25</v>
      </c>
      <c r="S18" s="4">
        <v>21</v>
      </c>
      <c r="T18" s="4">
        <v>23</v>
      </c>
      <c r="U18" s="4">
        <v>18</v>
      </c>
      <c r="V18" s="4">
        <v>11</v>
      </c>
      <c r="W18" s="4">
        <v>11</v>
      </c>
      <c r="X18" s="4">
        <v>5</v>
      </c>
      <c r="Y18" s="4">
        <v>10</v>
      </c>
      <c r="Z18" s="4">
        <v>14</v>
      </c>
      <c r="AA18" s="4">
        <v>6</v>
      </c>
      <c r="AB18" s="4">
        <v>3</v>
      </c>
      <c r="AC18" s="4">
        <v>5</v>
      </c>
      <c r="AD18" s="4">
        <v>1</v>
      </c>
      <c r="AE18" s="4">
        <v>6</v>
      </c>
      <c r="AF18" s="3">
        <v>6</v>
      </c>
      <c r="AG18" s="4">
        <v>2</v>
      </c>
    </row>
    <row r="19" spans="1:33" ht="15" x14ac:dyDescent="0.3">
      <c r="A19" s="1" t="s">
        <v>353</v>
      </c>
      <c r="B19" s="1" t="s">
        <v>166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3</v>
      </c>
      <c r="I19" s="1">
        <v>0</v>
      </c>
      <c r="J19" s="1">
        <v>4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</row>
    <row r="20" spans="1:33" ht="15" x14ac:dyDescent="0.3">
      <c r="A20" s="1" t="s">
        <v>353</v>
      </c>
      <c r="B20" s="1" t="s">
        <v>167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5</v>
      </c>
      <c r="O20" s="1">
        <v>0</v>
      </c>
      <c r="P20" s="1">
        <v>3</v>
      </c>
      <c r="Q20" s="1">
        <v>0</v>
      </c>
      <c r="R20" s="1">
        <v>1</v>
      </c>
      <c r="S20" s="1">
        <v>0</v>
      </c>
      <c r="T20" s="1">
        <v>0</v>
      </c>
      <c r="U20" s="1">
        <v>2</v>
      </c>
      <c r="V20" s="1">
        <v>2</v>
      </c>
      <c r="W20" s="1">
        <v>2</v>
      </c>
      <c r="X20" s="1">
        <v>0</v>
      </c>
      <c r="Y20" s="1">
        <v>1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ht="15" x14ac:dyDescent="0.3">
      <c r="A21" s="1" t="s">
        <v>353</v>
      </c>
      <c r="B21" s="1" t="s">
        <v>168</v>
      </c>
      <c r="C21" s="1">
        <v>0</v>
      </c>
      <c r="D21" s="1">
        <v>0</v>
      </c>
      <c r="E21" s="1">
        <v>1</v>
      </c>
      <c r="F21" s="1">
        <v>2</v>
      </c>
      <c r="G21" s="1">
        <v>0</v>
      </c>
      <c r="H21" s="1">
        <v>1</v>
      </c>
      <c r="I21" s="1">
        <v>0</v>
      </c>
      <c r="J21" s="1">
        <v>1</v>
      </c>
      <c r="K21" s="1">
        <v>1</v>
      </c>
      <c r="L21" s="1">
        <v>1</v>
      </c>
      <c r="M21" s="1">
        <v>6</v>
      </c>
      <c r="N21" s="1">
        <v>4</v>
      </c>
      <c r="O21" s="1">
        <v>1</v>
      </c>
      <c r="P21" s="1">
        <v>1</v>
      </c>
      <c r="Q21" s="1">
        <v>1</v>
      </c>
      <c r="R21" s="1">
        <v>1</v>
      </c>
      <c r="S21" s="1">
        <v>0</v>
      </c>
      <c r="T21" s="1">
        <v>2</v>
      </c>
      <c r="U21" s="1">
        <v>2</v>
      </c>
      <c r="V21" s="1">
        <v>0</v>
      </c>
      <c r="W21" s="1">
        <v>3</v>
      </c>
      <c r="X21" s="1">
        <v>3</v>
      </c>
      <c r="Y21" s="1">
        <v>1</v>
      </c>
      <c r="Z21" s="1">
        <v>2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</row>
    <row r="22" spans="1:33" ht="15" x14ac:dyDescent="0.3">
      <c r="A22" s="1" t="s">
        <v>353</v>
      </c>
      <c r="B22" s="1" t="s">
        <v>169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  <c r="H22" s="1">
        <v>1</v>
      </c>
      <c r="I22" s="1">
        <v>3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3</v>
      </c>
      <c r="Q22" s="1">
        <v>0</v>
      </c>
      <c r="R22" s="1">
        <v>2</v>
      </c>
      <c r="S22" s="1">
        <v>2</v>
      </c>
      <c r="T22" s="1">
        <v>0</v>
      </c>
      <c r="U22" s="1">
        <v>5</v>
      </c>
      <c r="V22" s="1">
        <v>2</v>
      </c>
      <c r="W22" s="1">
        <v>1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</row>
    <row r="23" spans="1:33" ht="15" x14ac:dyDescent="0.3">
      <c r="A23" s="1" t="s">
        <v>353</v>
      </c>
      <c r="B23" s="1" t="s">
        <v>170</v>
      </c>
      <c r="C23" s="1">
        <v>0</v>
      </c>
      <c r="D23" s="1">
        <v>0</v>
      </c>
      <c r="E23" s="1">
        <v>1</v>
      </c>
      <c r="F23" s="1">
        <v>0</v>
      </c>
      <c r="G23" s="1">
        <v>2</v>
      </c>
      <c r="H23" s="1">
        <v>2</v>
      </c>
      <c r="I23" s="1">
        <v>5</v>
      </c>
      <c r="J23" s="1">
        <v>3</v>
      </c>
      <c r="K23" s="1">
        <v>0</v>
      </c>
      <c r="L23" s="1">
        <v>5</v>
      </c>
      <c r="M23" s="1">
        <v>4</v>
      </c>
      <c r="N23" s="1">
        <v>2</v>
      </c>
      <c r="O23" s="1">
        <v>5</v>
      </c>
      <c r="P23" s="1">
        <v>2</v>
      </c>
      <c r="Q23" s="1">
        <v>4</v>
      </c>
      <c r="R23" s="1">
        <v>2</v>
      </c>
      <c r="S23" s="1">
        <v>2</v>
      </c>
      <c r="T23" s="1">
        <v>1</v>
      </c>
      <c r="U23" s="1">
        <v>0</v>
      </c>
      <c r="V23" s="1">
        <v>2</v>
      </c>
      <c r="W23" s="1">
        <v>0</v>
      </c>
      <c r="X23" s="1">
        <v>1</v>
      </c>
      <c r="Y23" s="1">
        <v>0</v>
      </c>
      <c r="Z23" s="1">
        <v>1</v>
      </c>
      <c r="AA23" s="1">
        <v>0</v>
      </c>
      <c r="AB23" s="1">
        <v>2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ht="15" x14ac:dyDescent="0.3">
      <c r="A24" s="1" t="s">
        <v>353</v>
      </c>
      <c r="B24" s="1" t="s">
        <v>171</v>
      </c>
      <c r="C24" s="1">
        <v>0</v>
      </c>
      <c r="D24" s="1">
        <v>0</v>
      </c>
      <c r="E24" s="1">
        <v>0</v>
      </c>
      <c r="F24" s="1">
        <v>0</v>
      </c>
      <c r="G24" s="1">
        <v>3</v>
      </c>
      <c r="H24" s="1">
        <v>1</v>
      </c>
      <c r="I24" s="1">
        <v>1</v>
      </c>
      <c r="J24" s="1">
        <v>1</v>
      </c>
      <c r="K24" s="1">
        <v>1</v>
      </c>
      <c r="L24" s="1">
        <v>0</v>
      </c>
      <c r="M24" s="1">
        <v>1</v>
      </c>
      <c r="N24" s="1">
        <v>3</v>
      </c>
      <c r="O24" s="1">
        <v>1</v>
      </c>
      <c r="P24" s="1">
        <v>1</v>
      </c>
      <c r="Q24" s="1">
        <v>0</v>
      </c>
      <c r="R24" s="1">
        <v>2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2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ht="15" x14ac:dyDescent="0.3">
      <c r="A25" s="1" t="s">
        <v>353</v>
      </c>
      <c r="B25" s="1" t="s">
        <v>172</v>
      </c>
      <c r="C25" s="1">
        <v>0</v>
      </c>
      <c r="D25" s="1">
        <v>1</v>
      </c>
      <c r="E25" s="1">
        <v>0</v>
      </c>
      <c r="F25" s="1">
        <v>3</v>
      </c>
      <c r="G25" s="1">
        <v>1</v>
      </c>
      <c r="H25" s="1">
        <v>7</v>
      </c>
      <c r="I25" s="1">
        <v>5</v>
      </c>
      <c r="J25" s="1">
        <v>6</v>
      </c>
      <c r="K25" s="1">
        <v>0</v>
      </c>
      <c r="L25" s="1">
        <v>6</v>
      </c>
      <c r="M25" s="1">
        <v>2</v>
      </c>
      <c r="N25" s="1">
        <v>7</v>
      </c>
      <c r="O25" s="1">
        <v>5</v>
      </c>
      <c r="P25" s="1">
        <v>3</v>
      </c>
      <c r="Q25" s="1">
        <v>6</v>
      </c>
      <c r="R25" s="1">
        <v>2</v>
      </c>
      <c r="S25" s="1">
        <v>1</v>
      </c>
      <c r="T25" s="1">
        <v>1</v>
      </c>
      <c r="U25" s="1">
        <v>2</v>
      </c>
      <c r="V25" s="1">
        <v>3</v>
      </c>
      <c r="W25" s="1">
        <v>1</v>
      </c>
      <c r="X25" s="1">
        <v>0</v>
      </c>
      <c r="Y25" s="1">
        <v>1</v>
      </c>
      <c r="Z25" s="1">
        <v>0</v>
      </c>
      <c r="AA25" s="1">
        <v>2</v>
      </c>
      <c r="AB25" s="1">
        <v>0</v>
      </c>
      <c r="AC25" s="1">
        <v>2</v>
      </c>
      <c r="AD25" s="1">
        <v>1</v>
      </c>
      <c r="AE25" s="1">
        <v>2</v>
      </c>
      <c r="AF25" s="1">
        <v>0</v>
      </c>
      <c r="AG25" s="1">
        <v>0</v>
      </c>
    </row>
    <row r="26" spans="1:33" ht="15" x14ac:dyDescent="0.3">
      <c r="A26" s="1" t="s">
        <v>353</v>
      </c>
      <c r="B26" s="1" t="s">
        <v>173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9</v>
      </c>
      <c r="J26" s="1">
        <v>4</v>
      </c>
      <c r="K26" s="1">
        <v>0</v>
      </c>
      <c r="L26" s="1">
        <v>3</v>
      </c>
      <c r="M26" s="1">
        <v>5</v>
      </c>
      <c r="N26" s="1">
        <v>3</v>
      </c>
      <c r="O26" s="1">
        <v>2</v>
      </c>
      <c r="P26" s="1">
        <v>7</v>
      </c>
      <c r="Q26" s="1">
        <v>3</v>
      </c>
      <c r="R26" s="1">
        <v>1</v>
      </c>
      <c r="S26" s="1">
        <v>4</v>
      </c>
      <c r="T26" s="1">
        <v>2</v>
      </c>
      <c r="U26" s="1">
        <v>3</v>
      </c>
      <c r="V26" s="1">
        <v>0</v>
      </c>
      <c r="W26" s="1">
        <v>4</v>
      </c>
      <c r="X26" s="1">
        <v>0</v>
      </c>
      <c r="Y26" s="1">
        <v>1</v>
      </c>
      <c r="Z26" s="1">
        <v>2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ht="15" x14ac:dyDescent="0.3">
      <c r="A27" s="1" t="s">
        <v>353</v>
      </c>
      <c r="B27" s="1" t="s">
        <v>174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2</v>
      </c>
      <c r="U27" s="1">
        <v>1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ht="15" x14ac:dyDescent="0.3">
      <c r="A28" s="1" t="s">
        <v>330</v>
      </c>
      <c r="B28" s="1" t="s">
        <v>11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ht="15" x14ac:dyDescent="0.3">
      <c r="A29" s="1" t="s">
        <v>330</v>
      </c>
      <c r="B29" s="1" t="s">
        <v>2</v>
      </c>
      <c r="C29" s="1">
        <v>0</v>
      </c>
      <c r="D29" s="1">
        <v>0</v>
      </c>
      <c r="E29" s="1">
        <v>1</v>
      </c>
      <c r="F29" s="1">
        <v>0</v>
      </c>
      <c r="G29" s="1">
        <v>2</v>
      </c>
      <c r="H29" s="1">
        <v>2</v>
      </c>
      <c r="I29" s="1">
        <v>4</v>
      </c>
      <c r="J29" s="1">
        <v>2</v>
      </c>
      <c r="K29" s="1">
        <v>2</v>
      </c>
      <c r="L29" s="1">
        <v>0</v>
      </c>
      <c r="M29" s="1">
        <v>2</v>
      </c>
      <c r="N29" s="1">
        <v>8</v>
      </c>
      <c r="O29" s="1">
        <v>3</v>
      </c>
      <c r="P29" s="1">
        <v>1</v>
      </c>
      <c r="Q29" s="1">
        <v>2</v>
      </c>
      <c r="R29" s="1">
        <v>0</v>
      </c>
      <c r="S29" s="1">
        <v>0</v>
      </c>
      <c r="T29" s="1">
        <v>2</v>
      </c>
      <c r="U29" s="1">
        <v>1</v>
      </c>
      <c r="V29" s="1">
        <v>0</v>
      </c>
      <c r="W29" s="1">
        <v>0</v>
      </c>
      <c r="X29" s="1">
        <v>2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</row>
    <row r="30" spans="1:33" ht="15" x14ac:dyDescent="0.3">
      <c r="A30" s="1" t="s">
        <v>330</v>
      </c>
      <c r="B30" s="1" t="s">
        <v>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1</v>
      </c>
      <c r="M30" s="1">
        <v>0</v>
      </c>
      <c r="N30" s="1">
        <v>1</v>
      </c>
      <c r="O30" s="1">
        <v>5</v>
      </c>
      <c r="P30" s="1">
        <v>2</v>
      </c>
      <c r="Q30" s="1">
        <v>0</v>
      </c>
      <c r="R30" s="1">
        <v>1</v>
      </c>
      <c r="S30" s="1">
        <v>0</v>
      </c>
      <c r="T30" s="1">
        <v>0</v>
      </c>
      <c r="U30" s="1">
        <v>2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ht="15" x14ac:dyDescent="0.3">
      <c r="A31" s="1" t="s">
        <v>330</v>
      </c>
      <c r="B31" s="1" t="s">
        <v>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1</v>
      </c>
      <c r="Q31" s="1">
        <v>0</v>
      </c>
      <c r="R31" s="1">
        <v>2</v>
      </c>
      <c r="S31" s="1">
        <v>0</v>
      </c>
      <c r="T31" s="1">
        <v>3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ht="15" x14ac:dyDescent="0.3">
      <c r="A32" s="1" t="s">
        <v>330</v>
      </c>
      <c r="B32" s="1" t="s">
        <v>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2</v>
      </c>
      <c r="V32" s="1">
        <v>3</v>
      </c>
      <c r="W32" s="1">
        <v>0</v>
      </c>
      <c r="X32" s="1">
        <v>1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ht="15" x14ac:dyDescent="0.3">
      <c r="A33" s="1" t="s">
        <v>330</v>
      </c>
      <c r="B33" s="1" t="s">
        <v>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ht="15" x14ac:dyDescent="0.3">
      <c r="A34" s="1" t="s">
        <v>330</v>
      </c>
      <c r="B34" s="1" t="s">
        <v>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ht="15" x14ac:dyDescent="0.3">
      <c r="A35" s="1" t="s">
        <v>330</v>
      </c>
      <c r="B35" s="1" t="s">
        <v>12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3</v>
      </c>
      <c r="V35" s="1">
        <v>0</v>
      </c>
      <c r="W35" s="1">
        <v>0</v>
      </c>
      <c r="X35" s="1">
        <v>0</v>
      </c>
      <c r="Y35" s="1">
        <v>1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ht="15" x14ac:dyDescent="0.3">
      <c r="A36" s="1" t="s">
        <v>330</v>
      </c>
      <c r="B36" s="1" t="s">
        <v>8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ht="15" x14ac:dyDescent="0.3">
      <c r="A37" s="1" t="s">
        <v>330</v>
      </c>
      <c r="B37" s="1" t="s">
        <v>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ht="15" x14ac:dyDescent="0.3">
      <c r="A38" s="1" t="s">
        <v>330</v>
      </c>
      <c r="B38" s="1" t="s">
        <v>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2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ht="15" x14ac:dyDescent="0.3">
      <c r="A39" s="1" t="s">
        <v>75</v>
      </c>
      <c r="B39" s="1" t="s">
        <v>76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7</v>
      </c>
      <c r="L39" s="1">
        <v>4</v>
      </c>
      <c r="M39" s="1">
        <v>5</v>
      </c>
      <c r="N39" s="1">
        <v>5</v>
      </c>
      <c r="O39" s="1">
        <v>6</v>
      </c>
      <c r="P39" s="1">
        <v>4</v>
      </c>
      <c r="Q39" s="1">
        <v>6</v>
      </c>
      <c r="R39" s="1">
        <v>7</v>
      </c>
      <c r="S39" s="1">
        <v>3</v>
      </c>
      <c r="T39" s="1">
        <v>6</v>
      </c>
      <c r="U39" s="1">
        <v>3</v>
      </c>
      <c r="V39" s="1">
        <v>0</v>
      </c>
      <c r="W39" s="1">
        <v>4</v>
      </c>
      <c r="X39" s="1">
        <v>2</v>
      </c>
      <c r="Y39" s="1">
        <v>5</v>
      </c>
      <c r="Z39" s="1">
        <v>3</v>
      </c>
      <c r="AA39" s="1">
        <v>3</v>
      </c>
      <c r="AB39" s="1">
        <v>8</v>
      </c>
      <c r="AC39" s="1">
        <v>8</v>
      </c>
      <c r="AD39" s="1">
        <v>0</v>
      </c>
      <c r="AE39" s="1">
        <v>2</v>
      </c>
      <c r="AF39" s="1">
        <v>0</v>
      </c>
      <c r="AG39" s="1">
        <v>1</v>
      </c>
    </row>
    <row r="40" spans="1:33" ht="15" x14ac:dyDescent="0.3">
      <c r="A40" s="1" t="s">
        <v>75</v>
      </c>
      <c r="B40" s="1" t="s">
        <v>77</v>
      </c>
      <c r="C40" s="1">
        <v>0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  <c r="I40" s="1">
        <v>3</v>
      </c>
      <c r="J40" s="1">
        <v>1</v>
      </c>
      <c r="K40" s="1">
        <v>6</v>
      </c>
      <c r="L40" s="1">
        <v>4</v>
      </c>
      <c r="M40" s="1">
        <v>2</v>
      </c>
      <c r="N40" s="1">
        <v>0</v>
      </c>
      <c r="O40" s="1">
        <v>3</v>
      </c>
      <c r="P40" s="1">
        <v>4</v>
      </c>
      <c r="Q40" s="1">
        <v>6</v>
      </c>
      <c r="R40" s="1">
        <v>4</v>
      </c>
      <c r="S40" s="1">
        <v>9</v>
      </c>
      <c r="T40" s="1">
        <v>2</v>
      </c>
      <c r="U40" s="1">
        <v>0</v>
      </c>
      <c r="V40" s="1">
        <v>5</v>
      </c>
      <c r="W40" s="1">
        <v>5</v>
      </c>
      <c r="X40" s="1">
        <v>2</v>
      </c>
      <c r="Y40" s="1">
        <v>4</v>
      </c>
      <c r="Z40" s="1">
        <v>2</v>
      </c>
      <c r="AA40" s="1">
        <v>0</v>
      </c>
      <c r="AB40" s="1">
        <v>1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</row>
    <row r="41" spans="1:33" ht="15" x14ac:dyDescent="0.3">
      <c r="A41" s="1" t="s">
        <v>75</v>
      </c>
      <c r="B41" s="1" t="s">
        <v>78</v>
      </c>
      <c r="C41" s="1">
        <v>0</v>
      </c>
      <c r="D41" s="1">
        <v>1</v>
      </c>
      <c r="E41" s="1">
        <v>0</v>
      </c>
      <c r="F41" s="1">
        <v>5</v>
      </c>
      <c r="G41" s="1">
        <v>2</v>
      </c>
      <c r="H41" s="1">
        <v>2</v>
      </c>
      <c r="I41" s="1">
        <v>4</v>
      </c>
      <c r="J41" s="1">
        <v>4</v>
      </c>
      <c r="K41" s="1">
        <v>0</v>
      </c>
      <c r="L41" s="1">
        <v>11</v>
      </c>
      <c r="M41" s="1">
        <v>3</v>
      </c>
      <c r="N41" s="1">
        <v>7</v>
      </c>
      <c r="O41" s="1">
        <v>4</v>
      </c>
      <c r="P41" s="1">
        <v>0</v>
      </c>
      <c r="Q41" s="1">
        <v>3</v>
      </c>
      <c r="R41" s="1">
        <v>3</v>
      </c>
      <c r="S41" s="1">
        <v>1</v>
      </c>
      <c r="T41" s="1">
        <v>7</v>
      </c>
      <c r="U41" s="1">
        <v>3</v>
      </c>
      <c r="V41" s="1">
        <v>5</v>
      </c>
      <c r="W41" s="1">
        <v>3</v>
      </c>
      <c r="X41" s="1">
        <v>2</v>
      </c>
      <c r="Y41" s="1">
        <v>8</v>
      </c>
      <c r="Z41" s="1">
        <v>3</v>
      </c>
      <c r="AA41" s="1">
        <v>1</v>
      </c>
      <c r="AB41" s="1">
        <v>2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ht="15" x14ac:dyDescent="0.3">
      <c r="A42" s="1" t="s">
        <v>75</v>
      </c>
      <c r="B42" s="1" t="s">
        <v>79</v>
      </c>
      <c r="C42" s="1">
        <v>0</v>
      </c>
      <c r="D42" s="1">
        <v>2</v>
      </c>
      <c r="E42" s="1">
        <v>3</v>
      </c>
      <c r="F42" s="1">
        <v>2</v>
      </c>
      <c r="G42" s="1">
        <v>7</v>
      </c>
      <c r="H42" s="1">
        <v>1</v>
      </c>
      <c r="I42" s="1">
        <v>24</v>
      </c>
      <c r="J42" s="1">
        <v>12</v>
      </c>
      <c r="K42" s="1">
        <v>12</v>
      </c>
      <c r="L42" s="1">
        <v>16</v>
      </c>
      <c r="M42" s="1">
        <v>27</v>
      </c>
      <c r="N42" s="1">
        <v>31</v>
      </c>
      <c r="O42" s="1">
        <v>38</v>
      </c>
      <c r="P42" s="1">
        <v>14</v>
      </c>
      <c r="Q42" s="1">
        <v>27</v>
      </c>
      <c r="R42" s="1">
        <v>21</v>
      </c>
      <c r="S42" s="1">
        <v>18</v>
      </c>
      <c r="T42" s="1">
        <v>29</v>
      </c>
      <c r="U42" s="1">
        <v>14</v>
      </c>
      <c r="V42" s="1">
        <v>6</v>
      </c>
      <c r="W42" s="1">
        <v>9</v>
      </c>
      <c r="X42" s="1">
        <v>4</v>
      </c>
      <c r="Y42" s="1">
        <v>6</v>
      </c>
      <c r="Z42" s="1">
        <v>4</v>
      </c>
      <c r="AA42" s="1">
        <v>1</v>
      </c>
      <c r="AB42" s="1">
        <v>7</v>
      </c>
      <c r="AC42" s="1">
        <v>3</v>
      </c>
      <c r="AD42" s="1">
        <v>1</v>
      </c>
      <c r="AE42" s="1">
        <v>0</v>
      </c>
      <c r="AF42" s="1">
        <v>0</v>
      </c>
      <c r="AG42" s="1">
        <v>0</v>
      </c>
    </row>
    <row r="43" spans="1:33" ht="15" x14ac:dyDescent="0.3">
      <c r="A43" s="1" t="s">
        <v>75</v>
      </c>
      <c r="B43" s="1" t="s">
        <v>80</v>
      </c>
      <c r="C43" s="1">
        <v>0</v>
      </c>
      <c r="D43" s="1">
        <v>0</v>
      </c>
      <c r="E43" s="1">
        <v>0</v>
      </c>
      <c r="F43" s="1">
        <v>4</v>
      </c>
      <c r="G43" s="1">
        <v>2</v>
      </c>
      <c r="H43" s="1">
        <v>1</v>
      </c>
      <c r="I43" s="1">
        <v>0</v>
      </c>
      <c r="J43" s="1">
        <v>3</v>
      </c>
      <c r="K43" s="1">
        <v>1</v>
      </c>
      <c r="L43" s="1">
        <v>5</v>
      </c>
      <c r="M43" s="1">
        <v>0</v>
      </c>
      <c r="N43" s="1">
        <v>3</v>
      </c>
      <c r="O43" s="1">
        <v>3</v>
      </c>
      <c r="P43" s="1">
        <v>5</v>
      </c>
      <c r="Q43" s="1">
        <v>1</v>
      </c>
      <c r="R43" s="1">
        <v>2</v>
      </c>
      <c r="S43" s="1">
        <v>4</v>
      </c>
      <c r="T43" s="1">
        <v>4</v>
      </c>
      <c r="U43" s="1">
        <v>2</v>
      </c>
      <c r="V43" s="1">
        <v>6</v>
      </c>
      <c r="W43" s="1">
        <v>3</v>
      </c>
      <c r="X43" s="1">
        <v>3</v>
      </c>
      <c r="Y43" s="1">
        <v>1</v>
      </c>
      <c r="Z43" s="1">
        <v>1</v>
      </c>
      <c r="AA43" s="1">
        <v>1</v>
      </c>
      <c r="AB43" s="1">
        <v>2</v>
      </c>
      <c r="AC43" s="1">
        <v>0</v>
      </c>
      <c r="AD43" s="1">
        <v>0</v>
      </c>
      <c r="AE43" s="1">
        <v>1</v>
      </c>
      <c r="AF43" s="1">
        <v>3</v>
      </c>
      <c r="AG43" s="1">
        <v>0</v>
      </c>
    </row>
    <row r="44" spans="1:33" ht="15" x14ac:dyDescent="0.3">
      <c r="A44" s="1" t="s">
        <v>75</v>
      </c>
      <c r="B44" s="1" t="s">
        <v>81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3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ht="15" x14ac:dyDescent="0.3">
      <c r="A45" s="1" t="s">
        <v>75</v>
      </c>
      <c r="B45" s="1" t="s">
        <v>82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2</v>
      </c>
      <c r="J45" s="1">
        <v>1</v>
      </c>
      <c r="K45" s="1">
        <v>0</v>
      </c>
      <c r="L45" s="1">
        <v>1</v>
      </c>
      <c r="M45" s="1">
        <v>0</v>
      </c>
      <c r="N45" s="1">
        <v>0</v>
      </c>
      <c r="O45" s="1">
        <v>1</v>
      </c>
      <c r="P45" s="1">
        <v>1</v>
      </c>
      <c r="Q45" s="1">
        <v>2</v>
      </c>
      <c r="R45" s="1">
        <v>1</v>
      </c>
      <c r="S45" s="1">
        <v>2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1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</row>
    <row r="46" spans="1:33" ht="15" x14ac:dyDescent="0.3">
      <c r="A46" s="1" t="s">
        <v>75</v>
      </c>
      <c r="B46" s="1" t="s">
        <v>83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3</v>
      </c>
      <c r="K46" s="1">
        <v>1</v>
      </c>
      <c r="L46" s="1">
        <v>6</v>
      </c>
      <c r="M46" s="1">
        <v>0</v>
      </c>
      <c r="N46" s="1">
        <v>2</v>
      </c>
      <c r="O46" s="1">
        <v>0</v>
      </c>
      <c r="P46" s="1">
        <v>3</v>
      </c>
      <c r="Q46" s="1">
        <v>1</v>
      </c>
      <c r="R46" s="1">
        <v>2</v>
      </c>
      <c r="S46" s="1">
        <v>0</v>
      </c>
      <c r="T46" s="1">
        <v>2</v>
      </c>
      <c r="U46" s="1">
        <v>3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ht="15" x14ac:dyDescent="0.3">
      <c r="A47" s="1" t="s">
        <v>75</v>
      </c>
      <c r="B47" s="1" t="s">
        <v>84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2</v>
      </c>
      <c r="N47" s="1">
        <v>1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ht="15" x14ac:dyDescent="0.3">
      <c r="A48" s="1" t="s">
        <v>75</v>
      </c>
      <c r="B48" s="1" t="s">
        <v>85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2</v>
      </c>
      <c r="O48" s="1">
        <v>0</v>
      </c>
      <c r="P48" s="1">
        <v>1</v>
      </c>
      <c r="Q48" s="1">
        <v>2</v>
      </c>
      <c r="R48" s="1">
        <v>1</v>
      </c>
      <c r="S48" s="1">
        <v>2</v>
      </c>
      <c r="T48" s="1">
        <v>2</v>
      </c>
      <c r="U48" s="1">
        <v>3</v>
      </c>
      <c r="V48" s="1">
        <v>3</v>
      </c>
      <c r="W48" s="1">
        <v>2</v>
      </c>
      <c r="X48" s="1">
        <v>1</v>
      </c>
      <c r="Y48" s="1">
        <v>1</v>
      </c>
      <c r="Z48" s="1">
        <v>1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  <c r="AG48" s="1">
        <v>0</v>
      </c>
    </row>
    <row r="49" spans="1:33" ht="15" x14ac:dyDescent="0.3">
      <c r="A49" s="1" t="s">
        <v>75</v>
      </c>
      <c r="B49" s="1" t="s">
        <v>86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</row>
    <row r="50" spans="1:33" ht="15" x14ac:dyDescent="0.3">
      <c r="A50" s="1" t="s">
        <v>75</v>
      </c>
      <c r="B50" s="1" t="s">
        <v>87</v>
      </c>
      <c r="C50" s="1">
        <v>1</v>
      </c>
      <c r="D50" s="1">
        <v>4</v>
      </c>
      <c r="E50" s="1">
        <v>1</v>
      </c>
      <c r="F50" s="1">
        <v>0</v>
      </c>
      <c r="G50" s="1">
        <v>6</v>
      </c>
      <c r="H50" s="1">
        <v>10</v>
      </c>
      <c r="I50" s="1">
        <v>5</v>
      </c>
      <c r="J50" s="1">
        <v>21</v>
      </c>
      <c r="K50" s="1">
        <v>6</v>
      </c>
      <c r="L50" s="1">
        <v>35</v>
      </c>
      <c r="M50" s="1">
        <v>0</v>
      </c>
      <c r="N50" s="1">
        <v>36</v>
      </c>
      <c r="O50" s="1">
        <v>73</v>
      </c>
      <c r="P50" s="1">
        <v>0</v>
      </c>
      <c r="Q50" s="1">
        <v>38</v>
      </c>
      <c r="R50" s="1">
        <v>46</v>
      </c>
      <c r="S50" s="1">
        <v>0</v>
      </c>
      <c r="T50" s="1">
        <v>25</v>
      </c>
      <c r="U50" s="1">
        <v>23</v>
      </c>
      <c r="V50" s="1">
        <v>15</v>
      </c>
      <c r="W50" s="1">
        <v>3</v>
      </c>
      <c r="X50" s="1">
        <v>13</v>
      </c>
      <c r="Y50" s="1">
        <v>16</v>
      </c>
      <c r="Z50" s="1">
        <v>5</v>
      </c>
      <c r="AA50" s="1">
        <v>9</v>
      </c>
      <c r="AB50" s="1">
        <v>6</v>
      </c>
      <c r="AC50" s="1">
        <v>8</v>
      </c>
      <c r="AD50" s="1">
        <v>1</v>
      </c>
      <c r="AE50" s="1">
        <v>1</v>
      </c>
      <c r="AF50" s="1">
        <v>0</v>
      </c>
      <c r="AG50" s="1">
        <v>0</v>
      </c>
    </row>
    <row r="51" spans="1:33" ht="15" x14ac:dyDescent="0.3">
      <c r="A51" s="1" t="s">
        <v>75</v>
      </c>
      <c r="B51" s="1" t="s">
        <v>88</v>
      </c>
      <c r="C51" s="1">
        <v>0</v>
      </c>
      <c r="D51" s="1">
        <v>0</v>
      </c>
      <c r="E51" s="1">
        <v>0</v>
      </c>
      <c r="F51" s="1">
        <v>1</v>
      </c>
      <c r="G51" s="1">
        <v>1</v>
      </c>
      <c r="H51" s="1">
        <v>1</v>
      </c>
      <c r="I51" s="1">
        <v>0</v>
      </c>
      <c r="J51" s="1">
        <v>3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</v>
      </c>
      <c r="R51" s="1">
        <v>2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ht="15" x14ac:dyDescent="0.3">
      <c r="A52" s="1" t="s">
        <v>75</v>
      </c>
      <c r="B52" s="1" t="s">
        <v>89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1</v>
      </c>
      <c r="J52" s="1">
        <v>2</v>
      </c>
      <c r="K52" s="1">
        <v>0</v>
      </c>
      <c r="L52" s="1">
        <v>4</v>
      </c>
      <c r="M52" s="1">
        <v>0</v>
      </c>
      <c r="N52" s="1">
        <v>2</v>
      </c>
      <c r="O52" s="1">
        <v>1</v>
      </c>
      <c r="P52" s="1">
        <v>0</v>
      </c>
      <c r="Q52" s="1">
        <v>1</v>
      </c>
      <c r="R52" s="1">
        <v>3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ht="15" x14ac:dyDescent="0.3">
      <c r="A53" s="1" t="s">
        <v>75</v>
      </c>
      <c r="B53" s="1" t="s">
        <v>90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3</v>
      </c>
      <c r="O53" s="1">
        <v>0</v>
      </c>
      <c r="P53" s="1">
        <v>1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ht="15" x14ac:dyDescent="0.3">
      <c r="A54" s="1" t="s">
        <v>75</v>
      </c>
      <c r="B54" s="1" t="s">
        <v>91</v>
      </c>
      <c r="C54" s="1">
        <v>0</v>
      </c>
      <c r="D54" s="1">
        <v>1</v>
      </c>
      <c r="E54" s="1">
        <v>0</v>
      </c>
      <c r="F54" s="1">
        <v>4</v>
      </c>
      <c r="G54" s="1">
        <v>2</v>
      </c>
      <c r="H54" s="1">
        <v>2</v>
      </c>
      <c r="I54" s="1">
        <v>0</v>
      </c>
      <c r="J54" s="1">
        <v>0</v>
      </c>
      <c r="K54" s="1">
        <v>6</v>
      </c>
      <c r="L54" s="1">
        <v>8</v>
      </c>
      <c r="M54" s="1">
        <v>8</v>
      </c>
      <c r="N54" s="1">
        <v>4</v>
      </c>
      <c r="O54" s="1">
        <v>9</v>
      </c>
      <c r="P54" s="1">
        <v>4</v>
      </c>
      <c r="Q54" s="1">
        <v>13</v>
      </c>
      <c r="R54" s="1">
        <v>5</v>
      </c>
      <c r="S54" s="1">
        <v>4</v>
      </c>
      <c r="T54" s="1">
        <v>3</v>
      </c>
      <c r="U54" s="1">
        <v>6</v>
      </c>
      <c r="V54" s="1">
        <v>1</v>
      </c>
      <c r="W54" s="1">
        <v>2</v>
      </c>
      <c r="X54" s="1">
        <v>1</v>
      </c>
      <c r="Y54" s="1">
        <v>1</v>
      </c>
      <c r="Z54" s="1">
        <v>2</v>
      </c>
      <c r="AA54" s="1">
        <v>2</v>
      </c>
      <c r="AB54" s="1">
        <v>4</v>
      </c>
      <c r="AC54" s="1">
        <v>1</v>
      </c>
      <c r="AD54" s="1">
        <v>1</v>
      </c>
      <c r="AE54" s="1">
        <v>1</v>
      </c>
      <c r="AF54" s="1">
        <v>0</v>
      </c>
      <c r="AG54" s="1">
        <v>0</v>
      </c>
    </row>
    <row r="55" spans="1:33" ht="15" x14ac:dyDescent="0.3">
      <c r="A55" s="1" t="s">
        <v>75</v>
      </c>
      <c r="B55" s="1" t="s">
        <v>92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  <c r="H55" s="1">
        <v>3</v>
      </c>
      <c r="I55" s="1">
        <v>0</v>
      </c>
      <c r="J55" s="1">
        <v>0</v>
      </c>
      <c r="K55" s="1">
        <v>1</v>
      </c>
      <c r="L55" s="1">
        <v>0</v>
      </c>
      <c r="M55" s="1">
        <v>1</v>
      </c>
      <c r="N55" s="1">
        <v>0</v>
      </c>
      <c r="O55" s="1">
        <v>1</v>
      </c>
      <c r="P55" s="1">
        <v>0</v>
      </c>
      <c r="Q55" s="1">
        <v>3</v>
      </c>
      <c r="R55" s="1">
        <v>1</v>
      </c>
      <c r="S55" s="1">
        <v>2</v>
      </c>
      <c r="T55" s="1">
        <v>1</v>
      </c>
      <c r="U55" s="1">
        <v>0</v>
      </c>
      <c r="V55" s="1">
        <v>0</v>
      </c>
      <c r="W55" s="1">
        <v>0</v>
      </c>
      <c r="X55" s="1">
        <v>1</v>
      </c>
      <c r="Y55" s="1">
        <v>1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</row>
    <row r="56" spans="1:33" ht="15" x14ac:dyDescent="0.3">
      <c r="A56" s="1" t="s">
        <v>75</v>
      </c>
      <c r="B56" s="1" t="s">
        <v>93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3</v>
      </c>
      <c r="M56" s="1">
        <v>0</v>
      </c>
      <c r="N56" s="1">
        <v>0</v>
      </c>
      <c r="O56" s="1">
        <v>0</v>
      </c>
      <c r="P56" s="1">
        <v>1</v>
      </c>
      <c r="Q56" s="1">
        <v>1</v>
      </c>
      <c r="R56" s="1">
        <v>1</v>
      </c>
      <c r="S56" s="1">
        <v>0</v>
      </c>
      <c r="T56" s="1">
        <v>0</v>
      </c>
      <c r="U56" s="1">
        <v>0</v>
      </c>
      <c r="V56" s="1">
        <v>3</v>
      </c>
      <c r="W56" s="1">
        <v>1</v>
      </c>
      <c r="X56" s="1">
        <v>1</v>
      </c>
      <c r="Y56" s="1">
        <v>2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</row>
    <row r="57" spans="1:33" ht="15" x14ac:dyDescent="0.3">
      <c r="A57" s="1" t="s">
        <v>75</v>
      </c>
      <c r="B57" s="1" t="s">
        <v>94</v>
      </c>
      <c r="C57" s="1">
        <v>0</v>
      </c>
      <c r="D57" s="1">
        <v>0</v>
      </c>
      <c r="E57" s="1">
        <v>0</v>
      </c>
      <c r="F57" s="1">
        <v>3</v>
      </c>
      <c r="G57" s="1">
        <v>2</v>
      </c>
      <c r="H57" s="1">
        <v>3</v>
      </c>
      <c r="I57" s="1">
        <v>0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2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ht="15" x14ac:dyDescent="0.3">
      <c r="A58" s="1" t="s">
        <v>75</v>
      </c>
      <c r="B58" s="1" t="s">
        <v>95</v>
      </c>
      <c r="C58" s="1">
        <v>0</v>
      </c>
      <c r="D58" s="1">
        <v>2</v>
      </c>
      <c r="E58" s="1">
        <v>0</v>
      </c>
      <c r="F58" s="1">
        <v>1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1</v>
      </c>
      <c r="AA58" s="1">
        <v>0</v>
      </c>
      <c r="AB58" s="1">
        <v>2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ht="15" x14ac:dyDescent="0.3">
      <c r="A59" s="1" t="s">
        <v>358</v>
      </c>
      <c r="B59" s="1" t="s">
        <v>272</v>
      </c>
      <c r="C59" s="1">
        <v>0</v>
      </c>
      <c r="D59" s="1">
        <v>1</v>
      </c>
      <c r="E59" s="1">
        <v>2</v>
      </c>
      <c r="F59" s="1">
        <v>3</v>
      </c>
      <c r="G59" s="1">
        <v>0</v>
      </c>
      <c r="H59" s="1">
        <v>3</v>
      </c>
      <c r="I59" s="1">
        <v>0</v>
      </c>
      <c r="J59" s="1">
        <v>2</v>
      </c>
      <c r="K59" s="1">
        <v>2</v>
      </c>
      <c r="L59" s="1">
        <v>2</v>
      </c>
      <c r="M59" s="1">
        <v>2</v>
      </c>
      <c r="N59" s="1">
        <v>6</v>
      </c>
      <c r="O59" s="1">
        <v>0</v>
      </c>
      <c r="P59" s="1">
        <v>3</v>
      </c>
      <c r="Q59" s="1">
        <v>1</v>
      </c>
      <c r="R59" s="1">
        <v>2</v>
      </c>
      <c r="S59" s="1">
        <v>2</v>
      </c>
      <c r="T59" s="1">
        <v>0</v>
      </c>
      <c r="U59" s="1">
        <v>1</v>
      </c>
      <c r="V59" s="1">
        <v>1</v>
      </c>
      <c r="W59" s="1">
        <v>2</v>
      </c>
      <c r="X59" s="1">
        <v>1</v>
      </c>
      <c r="Y59" s="1">
        <v>3</v>
      </c>
      <c r="Z59" s="1">
        <v>0</v>
      </c>
      <c r="AA59" s="1">
        <v>1</v>
      </c>
      <c r="AB59" s="1">
        <v>3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</row>
    <row r="60" spans="1:33" ht="15" x14ac:dyDescent="0.3">
      <c r="A60" s="1" t="s">
        <v>358</v>
      </c>
      <c r="B60" s="1" t="s">
        <v>273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4</v>
      </c>
      <c r="J60" s="1">
        <v>0</v>
      </c>
      <c r="K60" s="1">
        <v>2</v>
      </c>
      <c r="L60" s="1">
        <v>8</v>
      </c>
      <c r="M60" s="1">
        <v>1</v>
      </c>
      <c r="N60" s="1">
        <v>0</v>
      </c>
      <c r="O60" s="1">
        <v>0</v>
      </c>
      <c r="P60" s="1">
        <v>6</v>
      </c>
      <c r="Q60" s="1">
        <v>5</v>
      </c>
      <c r="R60" s="1">
        <v>1</v>
      </c>
      <c r="S60" s="1">
        <v>2</v>
      </c>
      <c r="T60" s="1">
        <v>1</v>
      </c>
      <c r="U60" s="1">
        <v>1</v>
      </c>
      <c r="V60" s="1">
        <v>3</v>
      </c>
      <c r="W60" s="1">
        <v>2</v>
      </c>
      <c r="X60" s="1">
        <v>4</v>
      </c>
      <c r="Y60" s="1">
        <v>3</v>
      </c>
      <c r="Z60" s="1">
        <v>0</v>
      </c>
      <c r="AA60" s="1">
        <v>3</v>
      </c>
      <c r="AB60" s="1">
        <v>2</v>
      </c>
      <c r="AC60" s="1">
        <v>1</v>
      </c>
      <c r="AD60" s="1">
        <v>1</v>
      </c>
      <c r="AE60" s="1">
        <v>3</v>
      </c>
      <c r="AF60" s="1">
        <v>0</v>
      </c>
      <c r="AG60" s="1">
        <v>0</v>
      </c>
    </row>
    <row r="61" spans="1:33" ht="15" x14ac:dyDescent="0.3">
      <c r="A61" s="1" t="s">
        <v>358</v>
      </c>
      <c r="B61" s="1" t="s">
        <v>274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1</v>
      </c>
      <c r="U61" s="1">
        <v>1</v>
      </c>
      <c r="V61" s="1">
        <v>4</v>
      </c>
      <c r="W61" s="1">
        <v>4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ht="15" x14ac:dyDescent="0.3">
      <c r="A62" s="1" t="s">
        <v>358</v>
      </c>
      <c r="B62" s="1" t="s">
        <v>275</v>
      </c>
      <c r="C62" s="1">
        <v>0</v>
      </c>
      <c r="D62" s="1">
        <v>0</v>
      </c>
      <c r="E62" s="1">
        <v>1</v>
      </c>
      <c r="F62" s="1">
        <v>1</v>
      </c>
      <c r="G62" s="1">
        <v>1</v>
      </c>
      <c r="H62" s="1">
        <v>2</v>
      </c>
      <c r="I62" s="1">
        <v>1</v>
      </c>
      <c r="J62" s="1">
        <v>0</v>
      </c>
      <c r="K62" s="1">
        <v>0</v>
      </c>
      <c r="L62" s="1">
        <v>4</v>
      </c>
      <c r="M62" s="1">
        <v>1</v>
      </c>
      <c r="N62" s="1">
        <v>1</v>
      </c>
      <c r="O62" s="1">
        <v>0</v>
      </c>
      <c r="P62" s="1">
        <v>2</v>
      </c>
      <c r="Q62" s="1">
        <v>1</v>
      </c>
      <c r="R62" s="1">
        <v>2</v>
      </c>
      <c r="S62" s="1">
        <v>3</v>
      </c>
      <c r="T62" s="1">
        <v>0</v>
      </c>
      <c r="U62" s="1">
        <v>0</v>
      </c>
      <c r="V62" s="1">
        <v>0</v>
      </c>
      <c r="W62" s="1">
        <v>2</v>
      </c>
      <c r="X62" s="1">
        <v>0</v>
      </c>
      <c r="Y62" s="1">
        <v>0</v>
      </c>
      <c r="Z62" s="1">
        <v>0</v>
      </c>
      <c r="AA62" s="1">
        <v>0</v>
      </c>
      <c r="AB62" s="1">
        <v>2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ht="15" x14ac:dyDescent="0.3">
      <c r="A63" s="1" t="s">
        <v>358</v>
      </c>
      <c r="B63" s="1" t="s">
        <v>276</v>
      </c>
      <c r="C63" s="1">
        <v>0</v>
      </c>
      <c r="D63" s="1">
        <v>0</v>
      </c>
      <c r="E63" s="1">
        <v>0</v>
      </c>
      <c r="F63" s="1">
        <v>6</v>
      </c>
      <c r="G63" s="1">
        <v>0</v>
      </c>
      <c r="H63" s="1">
        <v>5</v>
      </c>
      <c r="I63" s="1">
        <v>3</v>
      </c>
      <c r="J63" s="1">
        <v>1</v>
      </c>
      <c r="K63" s="1">
        <v>1</v>
      </c>
      <c r="L63" s="1">
        <v>2</v>
      </c>
      <c r="M63" s="1">
        <v>0</v>
      </c>
      <c r="N63" s="1">
        <v>3</v>
      </c>
      <c r="O63" s="1">
        <v>3</v>
      </c>
      <c r="P63" s="1">
        <v>1</v>
      </c>
      <c r="Q63" s="1">
        <v>0</v>
      </c>
      <c r="R63" s="1">
        <v>2</v>
      </c>
      <c r="S63" s="1">
        <v>1</v>
      </c>
      <c r="T63" s="1">
        <v>1</v>
      </c>
      <c r="U63" s="1">
        <v>1</v>
      </c>
      <c r="V63" s="1">
        <v>0</v>
      </c>
      <c r="W63" s="1">
        <v>1</v>
      </c>
      <c r="X63" s="1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ht="15" x14ac:dyDescent="0.3">
      <c r="A64" s="1" t="s">
        <v>358</v>
      </c>
      <c r="B64" s="1" t="s">
        <v>277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2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ht="15" x14ac:dyDescent="0.3">
      <c r="A65" s="1" t="s">
        <v>358</v>
      </c>
      <c r="B65" s="1" t="s">
        <v>278</v>
      </c>
      <c r="C65" s="1">
        <v>0</v>
      </c>
      <c r="D65" s="1">
        <v>0</v>
      </c>
      <c r="E65" s="1">
        <v>0</v>
      </c>
      <c r="F65" s="1">
        <v>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</v>
      </c>
      <c r="M65" s="1">
        <v>1</v>
      </c>
      <c r="N65" s="1">
        <v>0</v>
      </c>
      <c r="O65" s="1">
        <v>0</v>
      </c>
      <c r="P65" s="1">
        <v>0</v>
      </c>
      <c r="Q65" s="1">
        <v>2</v>
      </c>
      <c r="R65" s="1">
        <v>1</v>
      </c>
      <c r="S65" s="1">
        <v>2</v>
      </c>
      <c r="T65" s="1">
        <v>0</v>
      </c>
      <c r="U65" s="1">
        <v>4</v>
      </c>
      <c r="V65" s="1">
        <v>4</v>
      </c>
      <c r="W65" s="1">
        <v>2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</row>
    <row r="66" spans="1:33" ht="15" x14ac:dyDescent="0.3">
      <c r="A66" s="1" t="s">
        <v>358</v>
      </c>
      <c r="B66" s="1" t="s">
        <v>279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2</v>
      </c>
      <c r="N66" s="1">
        <v>1</v>
      </c>
      <c r="O66" s="1">
        <v>2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</row>
    <row r="67" spans="1:33" ht="15" x14ac:dyDescent="0.3">
      <c r="A67" s="1" t="s">
        <v>358</v>
      </c>
      <c r="B67" s="1" t="s">
        <v>280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ht="15" x14ac:dyDescent="0.3">
      <c r="A68" s="1" t="s">
        <v>358</v>
      </c>
      <c r="B68" s="1" t="s">
        <v>281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4</v>
      </c>
      <c r="P68" s="1">
        <v>1</v>
      </c>
      <c r="Q68" s="1">
        <v>0</v>
      </c>
      <c r="R68" s="1">
        <v>0</v>
      </c>
      <c r="S68" s="1">
        <v>2</v>
      </c>
      <c r="T68" s="1">
        <v>0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ht="15" x14ac:dyDescent="0.3">
      <c r="A69" s="1" t="s">
        <v>358</v>
      </c>
      <c r="B69" s="1" t="s">
        <v>282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2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ht="15" x14ac:dyDescent="0.3">
      <c r="A70" s="1" t="s">
        <v>358</v>
      </c>
      <c r="B70" s="1" t="s">
        <v>283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1</v>
      </c>
      <c r="S70" s="1">
        <v>3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ht="15" x14ac:dyDescent="0.3">
      <c r="A71" s="1" t="s">
        <v>358</v>
      </c>
      <c r="B71" s="1" t="s">
        <v>284</v>
      </c>
      <c r="C71" s="1">
        <v>0</v>
      </c>
      <c r="D71" s="1">
        <v>0</v>
      </c>
      <c r="E71" s="1">
        <v>0</v>
      </c>
      <c r="F71" s="1">
        <v>0</v>
      </c>
      <c r="G71" s="1">
        <v>2</v>
      </c>
      <c r="H71" s="1">
        <v>0</v>
      </c>
      <c r="I71" s="1">
        <v>1</v>
      </c>
      <c r="J71" s="1">
        <v>0</v>
      </c>
      <c r="K71" s="1">
        <v>2</v>
      </c>
      <c r="L71" s="1">
        <v>0</v>
      </c>
      <c r="M71" s="1">
        <v>2</v>
      </c>
      <c r="N71" s="1">
        <v>1</v>
      </c>
      <c r="O71" s="1">
        <v>0</v>
      </c>
      <c r="P71" s="1">
        <v>1</v>
      </c>
      <c r="Q71" s="1">
        <v>2</v>
      </c>
      <c r="R71" s="1">
        <v>2</v>
      </c>
      <c r="S71" s="1">
        <v>2</v>
      </c>
      <c r="T71" s="1">
        <v>0</v>
      </c>
      <c r="U71" s="1">
        <v>1</v>
      </c>
      <c r="V71" s="1">
        <v>0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1</v>
      </c>
    </row>
    <row r="72" spans="1:33" ht="15" x14ac:dyDescent="0.3">
      <c r="A72" s="1" t="s">
        <v>341</v>
      </c>
      <c r="B72" s="1" t="s">
        <v>324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3</v>
      </c>
      <c r="N72" s="1">
        <v>4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ht="15" x14ac:dyDescent="0.3">
      <c r="A73" s="1" t="s">
        <v>341</v>
      </c>
      <c r="B73" s="1" t="s">
        <v>325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</v>
      </c>
      <c r="P73" s="1">
        <v>0</v>
      </c>
      <c r="Q73" s="1">
        <v>0</v>
      </c>
      <c r="R73" s="1">
        <v>1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ht="15" x14ac:dyDescent="0.3">
      <c r="A74" s="1" t="s">
        <v>341</v>
      </c>
      <c r="B74" s="1" t="s">
        <v>326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2</v>
      </c>
      <c r="O74" s="1">
        <v>1</v>
      </c>
      <c r="P74" s="1">
        <v>0</v>
      </c>
      <c r="Q74" s="1">
        <v>5</v>
      </c>
      <c r="R74" s="1">
        <v>2</v>
      </c>
      <c r="S74" s="1">
        <v>2</v>
      </c>
      <c r="T74" s="1">
        <v>4</v>
      </c>
      <c r="U74" s="1">
        <v>4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ht="15" x14ac:dyDescent="0.3">
      <c r="A75" s="1" t="s">
        <v>341</v>
      </c>
      <c r="B75" s="1" t="s">
        <v>327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3</v>
      </c>
      <c r="O75" s="1">
        <v>2</v>
      </c>
      <c r="P75" s="1">
        <v>1</v>
      </c>
      <c r="Q75" s="1">
        <v>3</v>
      </c>
      <c r="R75" s="1">
        <v>2</v>
      </c>
      <c r="S75" s="1">
        <v>3</v>
      </c>
      <c r="T75" s="1">
        <v>3</v>
      </c>
      <c r="U75" s="1">
        <v>0</v>
      </c>
      <c r="V75" s="1">
        <v>6</v>
      </c>
      <c r="W75" s="1">
        <v>3</v>
      </c>
      <c r="X75" s="1">
        <v>2</v>
      </c>
      <c r="Y75" s="1">
        <v>2</v>
      </c>
      <c r="Z75" s="1">
        <v>2</v>
      </c>
      <c r="AA75" s="1">
        <v>1</v>
      </c>
      <c r="AB75" s="1">
        <v>0</v>
      </c>
      <c r="AC75" s="1">
        <v>0</v>
      </c>
      <c r="AD75" s="1">
        <v>2</v>
      </c>
      <c r="AE75" s="1">
        <v>0</v>
      </c>
      <c r="AF75" s="1">
        <v>0</v>
      </c>
      <c r="AG75" s="1">
        <v>0</v>
      </c>
    </row>
    <row r="76" spans="1:33" ht="15" x14ac:dyDescent="0.3">
      <c r="A76" s="1" t="s">
        <v>341</v>
      </c>
      <c r="B76" s="1" t="s">
        <v>328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3</v>
      </c>
      <c r="O76" s="1">
        <v>1</v>
      </c>
      <c r="P76" s="1">
        <v>3</v>
      </c>
      <c r="Q76" s="1">
        <v>1</v>
      </c>
      <c r="R76" s="1">
        <v>0</v>
      </c>
      <c r="S76" s="1">
        <v>2</v>
      </c>
      <c r="T76" s="1">
        <v>1</v>
      </c>
      <c r="U76" s="1">
        <v>3</v>
      </c>
      <c r="V76" s="1">
        <v>0</v>
      </c>
      <c r="W76" s="1">
        <v>4</v>
      </c>
      <c r="X76" s="1">
        <v>5</v>
      </c>
      <c r="Y76" s="1">
        <v>1</v>
      </c>
      <c r="Z76" s="1">
        <v>0</v>
      </c>
      <c r="AA76" s="1">
        <v>3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</row>
    <row r="77" spans="1:33" ht="15" x14ac:dyDescent="0.3">
      <c r="A77" s="1" t="s">
        <v>341</v>
      </c>
      <c r="B77" s="1" t="s">
        <v>329</v>
      </c>
      <c r="C77" s="1">
        <v>0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0</v>
      </c>
      <c r="P77" s="1">
        <v>3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1</v>
      </c>
      <c r="X77" s="1">
        <v>1</v>
      </c>
      <c r="Y77" s="1">
        <v>1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ht="15" x14ac:dyDescent="0.3">
      <c r="A78" s="1" t="s">
        <v>341</v>
      </c>
      <c r="B78" s="1" t="s">
        <v>18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1</v>
      </c>
      <c r="P78" s="1">
        <v>0</v>
      </c>
      <c r="Q78" s="1">
        <v>1</v>
      </c>
      <c r="R78" s="1">
        <v>1</v>
      </c>
      <c r="S78" s="1">
        <v>0</v>
      </c>
      <c r="T78" s="1">
        <v>0</v>
      </c>
      <c r="U78" s="1">
        <v>0</v>
      </c>
      <c r="V78" s="1">
        <v>2</v>
      </c>
      <c r="W78" s="1">
        <v>1</v>
      </c>
      <c r="X78" s="1">
        <v>2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ht="15" x14ac:dyDescent="0.3">
      <c r="A79" s="1" t="s">
        <v>341</v>
      </c>
      <c r="B79" s="1" t="s">
        <v>19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1</v>
      </c>
      <c r="J79" s="1">
        <v>2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1</v>
      </c>
      <c r="R79" s="1">
        <v>0</v>
      </c>
      <c r="S79" s="1">
        <v>0</v>
      </c>
      <c r="T79" s="1">
        <v>1</v>
      </c>
      <c r="U79" s="1">
        <v>0</v>
      </c>
      <c r="V79" s="1">
        <v>0</v>
      </c>
      <c r="W79" s="1">
        <v>1</v>
      </c>
      <c r="X79" s="1">
        <v>8</v>
      </c>
      <c r="Y79" s="1">
        <v>1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ht="15" x14ac:dyDescent="0.3">
      <c r="A80" s="1" t="s">
        <v>341</v>
      </c>
      <c r="B80" s="1" t="s">
        <v>17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1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ht="15" x14ac:dyDescent="0.3">
      <c r="A81" s="1" t="s">
        <v>345</v>
      </c>
      <c r="B81" s="1" t="s">
        <v>285</v>
      </c>
      <c r="C81" s="1">
        <v>0</v>
      </c>
      <c r="D81" s="1">
        <v>1</v>
      </c>
      <c r="E81" s="1">
        <v>0</v>
      </c>
      <c r="F81" s="1">
        <v>1</v>
      </c>
      <c r="G81" s="1">
        <v>3</v>
      </c>
      <c r="H81" s="1">
        <v>0</v>
      </c>
      <c r="I81" s="1">
        <v>2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</v>
      </c>
      <c r="R81" s="1">
        <v>0</v>
      </c>
      <c r="S81" s="1">
        <v>0</v>
      </c>
      <c r="T81" s="1">
        <v>0</v>
      </c>
      <c r="U81" s="1">
        <v>1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ht="15" x14ac:dyDescent="0.3">
      <c r="A82" s="1" t="s">
        <v>345</v>
      </c>
      <c r="B82" s="1" t="s">
        <v>286</v>
      </c>
      <c r="C82" s="1">
        <v>0</v>
      </c>
      <c r="D82" s="1">
        <v>1</v>
      </c>
      <c r="E82" s="1">
        <v>1</v>
      </c>
      <c r="F82" s="1">
        <v>0</v>
      </c>
      <c r="G82" s="1">
        <v>4</v>
      </c>
      <c r="H82" s="1">
        <v>2</v>
      </c>
      <c r="I82" s="1">
        <v>3</v>
      </c>
      <c r="J82" s="1">
        <v>3</v>
      </c>
      <c r="K82" s="1">
        <v>0</v>
      </c>
      <c r="L82" s="1">
        <v>0</v>
      </c>
      <c r="M82" s="1">
        <v>0</v>
      </c>
      <c r="N82" s="1">
        <v>2</v>
      </c>
      <c r="O82" s="1">
        <v>1</v>
      </c>
      <c r="P82" s="1">
        <v>0</v>
      </c>
      <c r="Q82" s="1">
        <v>1</v>
      </c>
      <c r="R82" s="1">
        <v>4</v>
      </c>
      <c r="S82" s="1">
        <v>8</v>
      </c>
      <c r="T82" s="1">
        <v>2</v>
      </c>
      <c r="U82" s="1">
        <v>5</v>
      </c>
      <c r="V82" s="1">
        <v>2</v>
      </c>
      <c r="W82" s="1">
        <v>2</v>
      </c>
      <c r="X82" s="1">
        <v>3</v>
      </c>
      <c r="Y82" s="1">
        <v>1</v>
      </c>
      <c r="Z82" s="1">
        <v>8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ht="15" x14ac:dyDescent="0.3">
      <c r="A83" s="1" t="s">
        <v>345</v>
      </c>
      <c r="B83" s="1" t="s">
        <v>287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ht="15" x14ac:dyDescent="0.3">
      <c r="A84" s="1" t="s">
        <v>345</v>
      </c>
      <c r="B84" s="1" t="s">
        <v>288</v>
      </c>
      <c r="C84" s="1">
        <v>0</v>
      </c>
      <c r="D84" s="1">
        <v>0</v>
      </c>
      <c r="E84" s="1">
        <v>0</v>
      </c>
      <c r="F84" s="1">
        <v>0</v>
      </c>
      <c r="G84" s="1">
        <v>3</v>
      </c>
      <c r="H84" s="1">
        <v>0</v>
      </c>
      <c r="I84" s="1">
        <v>2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ht="15" x14ac:dyDescent="0.3">
      <c r="A85" s="1" t="s">
        <v>345</v>
      </c>
      <c r="B85" s="1" t="s">
        <v>289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2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ht="15" x14ac:dyDescent="0.3">
      <c r="A86" s="1" t="s">
        <v>345</v>
      </c>
      <c r="B86" s="1" t="s">
        <v>290</v>
      </c>
      <c r="C86" s="1">
        <v>0</v>
      </c>
      <c r="D86" s="1">
        <v>0</v>
      </c>
      <c r="E86" s="1">
        <v>1</v>
      </c>
      <c r="F86" s="1">
        <v>2</v>
      </c>
      <c r="G86" s="1">
        <v>0</v>
      </c>
      <c r="H86" s="1">
        <v>0</v>
      </c>
      <c r="I86" s="1">
        <v>3</v>
      </c>
      <c r="J86" s="1">
        <v>1</v>
      </c>
      <c r="K86" s="1">
        <v>2</v>
      </c>
      <c r="L86" s="1">
        <v>0</v>
      </c>
      <c r="M86" s="1">
        <v>0</v>
      </c>
      <c r="N86" s="1">
        <v>2</v>
      </c>
      <c r="O86" s="1">
        <v>0</v>
      </c>
      <c r="P86" s="1">
        <v>2</v>
      </c>
      <c r="Q86" s="1">
        <v>1</v>
      </c>
      <c r="R86" s="1">
        <v>2</v>
      </c>
      <c r="S86" s="1">
        <v>0</v>
      </c>
      <c r="T86" s="1">
        <v>3</v>
      </c>
      <c r="U86" s="1">
        <v>4</v>
      </c>
      <c r="V86" s="1">
        <v>1</v>
      </c>
      <c r="W86" s="1">
        <v>4</v>
      </c>
      <c r="X86" s="1">
        <v>2</v>
      </c>
      <c r="Y86" s="1">
        <v>0</v>
      </c>
      <c r="Z86" s="1">
        <v>0</v>
      </c>
      <c r="AA86" s="1">
        <v>0</v>
      </c>
      <c r="AB86" s="1">
        <v>4</v>
      </c>
      <c r="AC86" s="1">
        <v>0</v>
      </c>
      <c r="AD86" s="1">
        <v>0</v>
      </c>
      <c r="AE86" s="1">
        <v>1</v>
      </c>
      <c r="AF86" s="1">
        <v>0</v>
      </c>
      <c r="AG86" s="1">
        <v>5</v>
      </c>
    </row>
    <row r="87" spans="1:33" ht="15" x14ac:dyDescent="0.3">
      <c r="A87" s="1" t="s">
        <v>345</v>
      </c>
      <c r="B87" s="1" t="s">
        <v>291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  <c r="L87" s="1">
        <v>2</v>
      </c>
      <c r="M87" s="1">
        <v>0</v>
      </c>
      <c r="N87" s="1">
        <v>1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ht="15" x14ac:dyDescent="0.3">
      <c r="A88" s="1" t="s">
        <v>344</v>
      </c>
      <c r="B88" s="1" t="s">
        <v>292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2</v>
      </c>
      <c r="I88" s="1">
        <v>0</v>
      </c>
      <c r="J88" s="1">
        <v>0</v>
      </c>
      <c r="K88" s="1">
        <v>3</v>
      </c>
      <c r="L88" s="1">
        <v>1</v>
      </c>
      <c r="M88" s="1">
        <v>4</v>
      </c>
      <c r="N88" s="1">
        <v>0</v>
      </c>
      <c r="O88" s="1">
        <v>2</v>
      </c>
      <c r="P88" s="1">
        <v>0</v>
      </c>
      <c r="Q88" s="1">
        <v>0</v>
      </c>
      <c r="R88" s="1">
        <v>4</v>
      </c>
      <c r="S88" s="1">
        <v>0</v>
      </c>
      <c r="T88" s="1">
        <v>1</v>
      </c>
      <c r="U88" s="1">
        <v>0</v>
      </c>
      <c r="V88" s="1">
        <v>3</v>
      </c>
      <c r="W88" s="1">
        <v>5</v>
      </c>
      <c r="X88" s="1">
        <v>4</v>
      </c>
      <c r="Y88" s="1">
        <v>1</v>
      </c>
      <c r="Z88" s="1">
        <v>0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ht="15" x14ac:dyDescent="0.3">
      <c r="A89" s="1" t="s">
        <v>344</v>
      </c>
      <c r="B89" s="1" t="s">
        <v>293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2</v>
      </c>
      <c r="L89" s="1">
        <v>0</v>
      </c>
      <c r="M89" s="1">
        <v>4</v>
      </c>
      <c r="N89" s="1">
        <v>1</v>
      </c>
      <c r="O89" s="1">
        <v>3</v>
      </c>
      <c r="P89" s="1">
        <v>0</v>
      </c>
      <c r="Q89" s="1">
        <v>0</v>
      </c>
      <c r="R89" s="1">
        <v>1</v>
      </c>
      <c r="S89" s="1">
        <v>5</v>
      </c>
      <c r="T89" s="1">
        <v>2</v>
      </c>
      <c r="U89" s="1">
        <v>4</v>
      </c>
      <c r="V89" s="1">
        <v>4</v>
      </c>
      <c r="W89" s="1">
        <v>1</v>
      </c>
      <c r="X89" s="1">
        <v>3</v>
      </c>
      <c r="Y89" s="1">
        <v>2</v>
      </c>
      <c r="Z89" s="1">
        <v>2</v>
      </c>
      <c r="AA89" s="1">
        <v>8</v>
      </c>
      <c r="AB89" s="1">
        <v>3</v>
      </c>
      <c r="AC89" s="1">
        <v>5</v>
      </c>
      <c r="AD89" s="1">
        <v>0</v>
      </c>
      <c r="AE89" s="1">
        <v>0</v>
      </c>
      <c r="AF89" s="1">
        <v>4</v>
      </c>
      <c r="AG89" s="1">
        <v>1</v>
      </c>
    </row>
    <row r="90" spans="1:33" ht="15" x14ac:dyDescent="0.3">
      <c r="A90" s="1" t="s">
        <v>344</v>
      </c>
      <c r="B90" s="1" t="s">
        <v>294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</v>
      </c>
      <c r="J90" s="1">
        <v>4</v>
      </c>
      <c r="K90" s="1">
        <v>3</v>
      </c>
      <c r="L90" s="1">
        <v>0</v>
      </c>
      <c r="M90" s="1">
        <v>0</v>
      </c>
      <c r="N90" s="1">
        <v>2</v>
      </c>
      <c r="O90" s="1">
        <v>0</v>
      </c>
      <c r="P90" s="1">
        <v>1</v>
      </c>
      <c r="Q90" s="1">
        <v>0</v>
      </c>
      <c r="R90" s="1">
        <v>1</v>
      </c>
      <c r="S90" s="1">
        <v>1</v>
      </c>
      <c r="T90" s="1">
        <v>1</v>
      </c>
      <c r="U90" s="1">
        <v>5</v>
      </c>
      <c r="V90" s="1">
        <v>2</v>
      </c>
      <c r="W90" s="1">
        <v>2</v>
      </c>
      <c r="X90" s="1">
        <v>2</v>
      </c>
      <c r="Y90" s="1">
        <v>2</v>
      </c>
      <c r="Z90" s="1">
        <v>1</v>
      </c>
      <c r="AA90" s="1">
        <v>0</v>
      </c>
      <c r="AB90" s="1">
        <v>0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</row>
    <row r="91" spans="1:33" ht="15" x14ac:dyDescent="0.3">
      <c r="A91" s="1" t="s">
        <v>344</v>
      </c>
      <c r="B91" s="1" t="s">
        <v>295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5</v>
      </c>
      <c r="M91" s="1">
        <v>0</v>
      </c>
      <c r="N91" s="1">
        <v>2</v>
      </c>
      <c r="O91" s="1">
        <v>1</v>
      </c>
      <c r="P91" s="1">
        <v>0</v>
      </c>
      <c r="Q91" s="1">
        <v>0</v>
      </c>
      <c r="R91" s="1">
        <v>1</v>
      </c>
      <c r="S91" s="1">
        <v>2</v>
      </c>
      <c r="T91" s="1">
        <v>1</v>
      </c>
      <c r="U91" s="1">
        <v>1</v>
      </c>
      <c r="V91" s="1">
        <v>0</v>
      </c>
      <c r="W91" s="1">
        <v>3</v>
      </c>
      <c r="X91" s="1">
        <v>4</v>
      </c>
      <c r="Y91" s="1">
        <v>0</v>
      </c>
      <c r="Z91" s="1">
        <v>4</v>
      </c>
      <c r="AA91" s="1">
        <v>6</v>
      </c>
      <c r="AB91" s="1">
        <v>2</v>
      </c>
      <c r="AC91" s="1">
        <v>1</v>
      </c>
      <c r="AD91" s="1">
        <v>0</v>
      </c>
      <c r="AE91" s="1">
        <v>0</v>
      </c>
      <c r="AF91" s="1">
        <v>0</v>
      </c>
      <c r="AG91" s="1">
        <v>0</v>
      </c>
    </row>
    <row r="92" spans="1:33" ht="15" x14ac:dyDescent="0.3">
      <c r="A92" s="1" t="s">
        <v>344</v>
      </c>
      <c r="B92" s="1" t="s">
        <v>296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ht="15" x14ac:dyDescent="0.3">
      <c r="A93" s="1" t="s">
        <v>344</v>
      </c>
      <c r="B93" s="1" t="s">
        <v>297</v>
      </c>
      <c r="C93" s="1">
        <v>0</v>
      </c>
      <c r="D93" s="1">
        <v>0</v>
      </c>
      <c r="E93" s="1">
        <v>1</v>
      </c>
      <c r="F93" s="1">
        <v>0</v>
      </c>
      <c r="G93" s="1">
        <v>1</v>
      </c>
      <c r="H93" s="1">
        <v>0</v>
      </c>
      <c r="I93" s="1">
        <v>0</v>
      </c>
      <c r="J93" s="1">
        <v>3</v>
      </c>
      <c r="K93" s="1">
        <v>3</v>
      </c>
      <c r="L93" s="1">
        <v>4</v>
      </c>
      <c r="M93" s="1">
        <v>6</v>
      </c>
      <c r="N93" s="1">
        <v>1</v>
      </c>
      <c r="O93" s="1">
        <v>0</v>
      </c>
      <c r="P93" s="1">
        <v>0</v>
      </c>
      <c r="Q93" s="1">
        <v>1</v>
      </c>
      <c r="R93" s="1">
        <v>0</v>
      </c>
      <c r="S93" s="1">
        <v>1</v>
      </c>
      <c r="T93" s="1">
        <v>2</v>
      </c>
      <c r="U93" s="1">
        <v>5</v>
      </c>
      <c r="V93" s="1">
        <v>0</v>
      </c>
      <c r="W93" s="1">
        <v>0</v>
      </c>
      <c r="X93" s="1">
        <v>4</v>
      </c>
      <c r="Y93" s="1">
        <v>5</v>
      </c>
      <c r="Z93" s="1">
        <v>5</v>
      </c>
      <c r="AA93" s="1">
        <v>3</v>
      </c>
      <c r="AB93" s="1">
        <v>1</v>
      </c>
      <c r="AC93" s="1">
        <v>1</v>
      </c>
      <c r="AD93" s="1">
        <v>0</v>
      </c>
      <c r="AE93" s="1">
        <v>1</v>
      </c>
      <c r="AF93" s="1">
        <v>0</v>
      </c>
      <c r="AG93" s="1">
        <v>0</v>
      </c>
    </row>
    <row r="94" spans="1:33" ht="15" x14ac:dyDescent="0.3">
      <c r="A94" s="1" t="s">
        <v>344</v>
      </c>
      <c r="B94" s="1" t="s">
        <v>298</v>
      </c>
      <c r="C94" s="1">
        <v>0</v>
      </c>
      <c r="D94" s="1">
        <v>1</v>
      </c>
      <c r="E94" s="1">
        <v>0</v>
      </c>
      <c r="F94" s="1">
        <v>0</v>
      </c>
      <c r="G94" s="1">
        <v>1</v>
      </c>
      <c r="H94" s="1">
        <v>1</v>
      </c>
      <c r="I94" s="1">
        <v>1</v>
      </c>
      <c r="J94" s="1">
        <v>1</v>
      </c>
      <c r="K94" s="1">
        <v>2</v>
      </c>
      <c r="L94" s="1">
        <v>2</v>
      </c>
      <c r="M94" s="1">
        <v>0</v>
      </c>
      <c r="N94" s="1">
        <v>3</v>
      </c>
      <c r="O94" s="1">
        <v>1</v>
      </c>
      <c r="P94" s="1">
        <v>3</v>
      </c>
      <c r="Q94" s="1">
        <v>5</v>
      </c>
      <c r="R94" s="1">
        <v>0</v>
      </c>
      <c r="S94" s="1">
        <v>3</v>
      </c>
      <c r="T94" s="1">
        <v>0</v>
      </c>
      <c r="U94" s="1">
        <v>0</v>
      </c>
      <c r="V94" s="1">
        <v>0</v>
      </c>
      <c r="W94" s="1">
        <v>1</v>
      </c>
      <c r="X94" s="1">
        <v>2</v>
      </c>
      <c r="Y94" s="1">
        <v>0</v>
      </c>
      <c r="Z94" s="1">
        <v>0</v>
      </c>
      <c r="AA94" s="1">
        <v>0</v>
      </c>
      <c r="AB94" s="1">
        <v>0</v>
      </c>
      <c r="AC94" s="1">
        <v>1</v>
      </c>
      <c r="AD94" s="1">
        <v>0</v>
      </c>
      <c r="AE94" s="1">
        <v>0</v>
      </c>
      <c r="AF94" s="1">
        <v>0</v>
      </c>
      <c r="AG94" s="1">
        <v>0</v>
      </c>
    </row>
    <row r="95" spans="1:33" ht="15" x14ac:dyDescent="0.3">
      <c r="A95" s="1" t="s">
        <v>344</v>
      </c>
      <c r="B95" s="1" t="s">
        <v>299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1</v>
      </c>
      <c r="Q95" s="1">
        <v>0</v>
      </c>
      <c r="R95" s="1">
        <v>1</v>
      </c>
      <c r="S95" s="1">
        <v>0</v>
      </c>
      <c r="T95" s="1">
        <v>2</v>
      </c>
      <c r="U95" s="1">
        <v>2</v>
      </c>
      <c r="V95" s="1">
        <v>0</v>
      </c>
      <c r="W95" s="1">
        <v>0</v>
      </c>
      <c r="X95" s="1">
        <v>2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ht="15" x14ac:dyDescent="0.3">
      <c r="A96" s="1" t="s">
        <v>344</v>
      </c>
      <c r="B96" s="1" t="s">
        <v>300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2</v>
      </c>
      <c r="K96" s="1">
        <v>1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2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</row>
    <row r="97" spans="1:33" ht="15" x14ac:dyDescent="0.3">
      <c r="A97" s="1" t="s">
        <v>344</v>
      </c>
      <c r="B97" s="1" t="s">
        <v>301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1</v>
      </c>
      <c r="K97" s="1">
        <v>1</v>
      </c>
      <c r="L97" s="1">
        <v>2</v>
      </c>
      <c r="M97" s="1">
        <v>2</v>
      </c>
      <c r="N97" s="1">
        <v>3</v>
      </c>
      <c r="O97" s="1">
        <v>0</v>
      </c>
      <c r="P97" s="1">
        <v>4</v>
      </c>
      <c r="Q97" s="1">
        <v>2</v>
      </c>
      <c r="R97" s="1">
        <v>0</v>
      </c>
      <c r="S97" s="1">
        <v>3</v>
      </c>
      <c r="T97" s="1">
        <v>0</v>
      </c>
      <c r="U97" s="1">
        <v>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</row>
    <row r="98" spans="1:33" ht="15" x14ac:dyDescent="0.3">
      <c r="A98" s="1" t="s">
        <v>344</v>
      </c>
      <c r="B98" s="1" t="s">
        <v>302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2</v>
      </c>
      <c r="I98" s="1">
        <v>0</v>
      </c>
      <c r="J98" s="1">
        <v>2</v>
      </c>
      <c r="K98" s="1">
        <v>0</v>
      </c>
      <c r="L98" s="1">
        <v>2</v>
      </c>
      <c r="M98" s="1">
        <v>1</v>
      </c>
      <c r="N98" s="1">
        <v>3</v>
      </c>
      <c r="O98" s="1">
        <v>1</v>
      </c>
      <c r="P98" s="1">
        <v>0</v>
      </c>
      <c r="Q98" s="1">
        <v>3</v>
      </c>
      <c r="R98" s="1">
        <v>0</v>
      </c>
      <c r="S98" s="1">
        <v>4</v>
      </c>
      <c r="T98" s="1">
        <v>4</v>
      </c>
      <c r="U98" s="1">
        <v>4</v>
      </c>
      <c r="V98" s="1">
        <v>1</v>
      </c>
      <c r="W98" s="1">
        <v>0</v>
      </c>
      <c r="X98" s="1">
        <v>0</v>
      </c>
      <c r="Y98" s="1">
        <v>2</v>
      </c>
      <c r="Z98" s="1">
        <v>2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ht="15" x14ac:dyDescent="0.3">
      <c r="A99" s="1" t="s">
        <v>347</v>
      </c>
      <c r="B99" s="1" t="s">
        <v>241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1</v>
      </c>
      <c r="I99" s="1">
        <v>1</v>
      </c>
      <c r="J99" s="1">
        <v>0</v>
      </c>
      <c r="K99" s="1">
        <v>1</v>
      </c>
      <c r="L99" s="1">
        <v>1</v>
      </c>
      <c r="M99" s="1">
        <v>1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ht="15" x14ac:dyDescent="0.3">
      <c r="A100" s="1" t="s">
        <v>347</v>
      </c>
      <c r="B100" s="1" t="s">
        <v>242</v>
      </c>
      <c r="C100" s="1">
        <v>0</v>
      </c>
      <c r="D100" s="1">
        <v>0</v>
      </c>
      <c r="E100" s="1">
        <v>0</v>
      </c>
      <c r="F100" s="1">
        <v>1</v>
      </c>
      <c r="G100" s="1">
        <v>5</v>
      </c>
      <c r="H100" s="1">
        <v>18</v>
      </c>
      <c r="I100" s="1">
        <v>0</v>
      </c>
      <c r="J100" s="1">
        <v>6</v>
      </c>
      <c r="K100" s="1">
        <v>3</v>
      </c>
      <c r="L100" s="1">
        <v>9</v>
      </c>
      <c r="M100" s="1">
        <v>7</v>
      </c>
      <c r="N100" s="1">
        <v>21</v>
      </c>
      <c r="O100" s="1">
        <v>18</v>
      </c>
      <c r="P100" s="1">
        <v>11</v>
      </c>
      <c r="Q100" s="1">
        <v>13</v>
      </c>
      <c r="R100" s="1">
        <v>26</v>
      </c>
      <c r="S100" s="1">
        <v>26</v>
      </c>
      <c r="T100" s="1">
        <v>12</v>
      </c>
      <c r="U100" s="1">
        <v>16</v>
      </c>
      <c r="V100" s="1">
        <v>13</v>
      </c>
      <c r="W100" s="1">
        <v>15</v>
      </c>
      <c r="X100" s="1">
        <v>8</v>
      </c>
      <c r="Y100" s="1">
        <v>3</v>
      </c>
      <c r="Z100" s="1">
        <v>9</v>
      </c>
      <c r="AA100" s="1">
        <v>3</v>
      </c>
      <c r="AB100" s="1">
        <v>9</v>
      </c>
      <c r="AC100" s="1">
        <v>9</v>
      </c>
      <c r="AD100" s="1">
        <v>1</v>
      </c>
      <c r="AE100" s="1">
        <v>4</v>
      </c>
      <c r="AF100" s="1">
        <v>2</v>
      </c>
      <c r="AG100" s="1">
        <v>1</v>
      </c>
    </row>
    <row r="101" spans="1:33" ht="15" x14ac:dyDescent="0.3">
      <c r="A101" s="1" t="s">
        <v>347</v>
      </c>
      <c r="B101" s="1" t="s">
        <v>243</v>
      </c>
      <c r="C101" s="1">
        <v>0</v>
      </c>
      <c r="D101" s="1">
        <v>0</v>
      </c>
      <c r="E101" s="1">
        <v>0</v>
      </c>
      <c r="F101" s="1">
        <v>0</v>
      </c>
      <c r="G101" s="1">
        <v>7</v>
      </c>
      <c r="H101" s="1">
        <v>7</v>
      </c>
      <c r="I101" s="1">
        <v>4</v>
      </c>
      <c r="J101" s="1">
        <v>6</v>
      </c>
      <c r="K101" s="1">
        <v>5</v>
      </c>
      <c r="L101" s="1">
        <v>21</v>
      </c>
      <c r="M101" s="1">
        <v>10</v>
      </c>
      <c r="N101" s="1">
        <v>5</v>
      </c>
      <c r="O101" s="1">
        <v>10</v>
      </c>
      <c r="P101" s="1">
        <v>8</v>
      </c>
      <c r="Q101" s="1">
        <v>15</v>
      </c>
      <c r="R101" s="1">
        <v>8</v>
      </c>
      <c r="S101" s="1">
        <v>4</v>
      </c>
      <c r="T101" s="1">
        <v>7</v>
      </c>
      <c r="U101" s="1">
        <v>10</v>
      </c>
      <c r="V101" s="1">
        <v>5</v>
      </c>
      <c r="W101" s="1">
        <v>1</v>
      </c>
      <c r="X101" s="1">
        <v>2</v>
      </c>
      <c r="Y101" s="1">
        <v>2</v>
      </c>
      <c r="Z101" s="1">
        <v>7</v>
      </c>
      <c r="AA101" s="1">
        <v>1</v>
      </c>
      <c r="AB101" s="1">
        <v>4</v>
      </c>
      <c r="AC101" s="1">
        <v>1</v>
      </c>
      <c r="AD101" s="1">
        <v>3</v>
      </c>
      <c r="AE101" s="1">
        <v>1</v>
      </c>
      <c r="AF101" s="1">
        <v>0</v>
      </c>
      <c r="AG101" s="1">
        <v>0</v>
      </c>
    </row>
    <row r="102" spans="1:33" ht="15" x14ac:dyDescent="0.3">
      <c r="A102" s="1" t="s">
        <v>347</v>
      </c>
      <c r="B102" s="1" t="s">
        <v>244</v>
      </c>
      <c r="C102" s="1">
        <v>0</v>
      </c>
      <c r="D102" s="1">
        <v>0</v>
      </c>
      <c r="E102" s="1">
        <v>0</v>
      </c>
      <c r="F102" s="1">
        <v>1</v>
      </c>
      <c r="G102" s="1">
        <v>3</v>
      </c>
      <c r="H102" s="1">
        <v>1</v>
      </c>
      <c r="I102" s="1">
        <v>6</v>
      </c>
      <c r="J102" s="1">
        <v>4</v>
      </c>
      <c r="K102" s="1">
        <v>4</v>
      </c>
      <c r="L102" s="1">
        <v>6</v>
      </c>
      <c r="M102" s="1">
        <v>11</v>
      </c>
      <c r="N102" s="1">
        <v>2</v>
      </c>
      <c r="O102" s="1">
        <v>2</v>
      </c>
      <c r="P102" s="1">
        <v>7</v>
      </c>
      <c r="Q102" s="1">
        <v>5</v>
      </c>
      <c r="R102" s="1">
        <v>4</v>
      </c>
      <c r="S102" s="1">
        <v>3</v>
      </c>
      <c r="T102" s="1">
        <v>1</v>
      </c>
      <c r="U102" s="1">
        <v>2</v>
      </c>
      <c r="V102" s="1">
        <v>0</v>
      </c>
      <c r="W102" s="1">
        <v>3</v>
      </c>
      <c r="X102" s="1">
        <v>0</v>
      </c>
      <c r="Y102" s="1">
        <v>1</v>
      </c>
      <c r="Z102" s="1">
        <v>2</v>
      </c>
      <c r="AA102" s="1">
        <v>1</v>
      </c>
      <c r="AB102" s="1">
        <v>1</v>
      </c>
      <c r="AC102" s="1">
        <v>1</v>
      </c>
      <c r="AD102" s="1">
        <v>4</v>
      </c>
      <c r="AE102" s="1">
        <v>1</v>
      </c>
      <c r="AF102" s="1">
        <v>0</v>
      </c>
      <c r="AG102" s="1">
        <v>0</v>
      </c>
    </row>
    <row r="103" spans="1:33" ht="15" x14ac:dyDescent="0.3">
      <c r="A103" s="1" t="s">
        <v>347</v>
      </c>
      <c r="B103" s="1" t="s">
        <v>245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6</v>
      </c>
      <c r="J103" s="1">
        <v>1</v>
      </c>
      <c r="K103" s="1">
        <v>7</v>
      </c>
      <c r="L103" s="1">
        <v>4</v>
      </c>
      <c r="M103" s="1">
        <v>13</v>
      </c>
      <c r="N103" s="1">
        <v>5</v>
      </c>
      <c r="O103" s="1">
        <v>8</v>
      </c>
      <c r="P103" s="1">
        <v>6</v>
      </c>
      <c r="Q103" s="1">
        <v>10</v>
      </c>
      <c r="R103" s="1">
        <v>1</v>
      </c>
      <c r="S103" s="1">
        <v>3</v>
      </c>
      <c r="T103" s="1">
        <v>7</v>
      </c>
      <c r="U103" s="1">
        <v>4</v>
      </c>
      <c r="V103" s="1">
        <v>7</v>
      </c>
      <c r="W103" s="1">
        <v>1</v>
      </c>
      <c r="X103" s="1">
        <v>3</v>
      </c>
      <c r="Y103" s="1">
        <v>0</v>
      </c>
      <c r="Z103" s="1">
        <v>1</v>
      </c>
      <c r="AA103" s="1">
        <v>1</v>
      </c>
      <c r="AB103" s="1">
        <v>2</v>
      </c>
      <c r="AC103" s="1">
        <v>1</v>
      </c>
      <c r="AD103" s="1">
        <v>0</v>
      </c>
      <c r="AE103" s="1">
        <v>0</v>
      </c>
      <c r="AF103" s="1">
        <v>0</v>
      </c>
      <c r="AG103" s="1">
        <v>0</v>
      </c>
    </row>
    <row r="104" spans="1:33" ht="15" x14ac:dyDescent="0.3">
      <c r="A104" s="1" t="s">
        <v>347</v>
      </c>
      <c r="B104" s="1" t="s">
        <v>246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3</v>
      </c>
      <c r="I104" s="1">
        <v>4</v>
      </c>
      <c r="J104" s="1">
        <v>4</v>
      </c>
      <c r="K104" s="1">
        <v>3</v>
      </c>
      <c r="L104" s="1">
        <v>2</v>
      </c>
      <c r="M104" s="1">
        <v>4</v>
      </c>
      <c r="N104" s="1">
        <v>4</v>
      </c>
      <c r="O104" s="1">
        <v>0</v>
      </c>
      <c r="P104" s="1">
        <v>4</v>
      </c>
      <c r="Q104" s="1">
        <v>4</v>
      </c>
      <c r="R104" s="1">
        <v>2</v>
      </c>
      <c r="S104" s="1">
        <v>2</v>
      </c>
      <c r="T104" s="1">
        <v>3</v>
      </c>
      <c r="U104" s="1">
        <v>3</v>
      </c>
      <c r="V104" s="1">
        <v>1</v>
      </c>
      <c r="W104" s="1">
        <v>1</v>
      </c>
      <c r="X104" s="1">
        <v>1</v>
      </c>
      <c r="Y104" s="1">
        <v>3</v>
      </c>
      <c r="Z104" s="1">
        <v>1</v>
      </c>
      <c r="AA104" s="1">
        <v>0</v>
      </c>
      <c r="AB104" s="1">
        <v>1</v>
      </c>
      <c r="AC104" s="1">
        <v>0</v>
      </c>
      <c r="AD104" s="1">
        <v>0</v>
      </c>
      <c r="AE104" s="1">
        <v>1</v>
      </c>
      <c r="AF104" s="1">
        <v>0</v>
      </c>
      <c r="AG104" s="1">
        <v>1</v>
      </c>
    </row>
    <row r="105" spans="1:33" ht="15" x14ac:dyDescent="0.3">
      <c r="A105" s="1" t="s">
        <v>347</v>
      </c>
      <c r="B105" s="1" t="s">
        <v>247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3</v>
      </c>
      <c r="J105" s="1">
        <v>0</v>
      </c>
      <c r="K105" s="1">
        <v>0</v>
      </c>
      <c r="L105" s="1">
        <v>3</v>
      </c>
      <c r="M105" s="1">
        <v>2</v>
      </c>
      <c r="N105" s="1">
        <v>1</v>
      </c>
      <c r="O105" s="1">
        <v>3</v>
      </c>
      <c r="P105" s="1">
        <v>5</v>
      </c>
      <c r="Q105" s="1">
        <v>9</v>
      </c>
      <c r="R105" s="1">
        <v>6</v>
      </c>
      <c r="S105" s="1">
        <v>7</v>
      </c>
      <c r="T105" s="1">
        <v>5</v>
      </c>
      <c r="U105" s="1">
        <v>2</v>
      </c>
      <c r="V105" s="1">
        <v>2</v>
      </c>
      <c r="W105" s="1">
        <v>2</v>
      </c>
      <c r="X105" s="1">
        <v>2</v>
      </c>
      <c r="Y105" s="1">
        <v>1</v>
      </c>
      <c r="Z105" s="1">
        <v>1</v>
      </c>
      <c r="AA105" s="1">
        <v>1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ht="15" x14ac:dyDescent="0.3">
      <c r="A106" s="1" t="s">
        <v>347</v>
      </c>
      <c r="B106" s="1" t="s">
        <v>248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1</v>
      </c>
      <c r="K106" s="1">
        <v>1</v>
      </c>
      <c r="L106" s="1">
        <v>1</v>
      </c>
      <c r="M106" s="1">
        <v>3</v>
      </c>
      <c r="N106" s="1">
        <v>2</v>
      </c>
      <c r="O106" s="1">
        <v>3</v>
      </c>
      <c r="P106" s="1">
        <v>0</v>
      </c>
      <c r="Q106" s="1">
        <v>1</v>
      </c>
      <c r="R106" s="1">
        <v>6</v>
      </c>
      <c r="S106" s="1">
        <v>1</v>
      </c>
      <c r="T106" s="1">
        <v>2</v>
      </c>
      <c r="U106" s="1">
        <v>1</v>
      </c>
      <c r="V106" s="1">
        <v>3</v>
      </c>
      <c r="W106" s="1">
        <v>0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  <c r="AE106" s="1">
        <v>0</v>
      </c>
      <c r="AF106" s="1">
        <v>0</v>
      </c>
      <c r="AG106" s="1">
        <v>0</v>
      </c>
    </row>
    <row r="107" spans="1:33" ht="15" x14ac:dyDescent="0.3">
      <c r="A107" s="1" t="s">
        <v>347</v>
      </c>
      <c r="B107" s="1" t="s">
        <v>249</v>
      </c>
      <c r="C107" s="1">
        <v>0</v>
      </c>
      <c r="D107" s="1">
        <v>0</v>
      </c>
      <c r="E107" s="1">
        <v>0</v>
      </c>
      <c r="F107" s="1">
        <v>0</v>
      </c>
      <c r="G107" s="1">
        <v>1</v>
      </c>
      <c r="H107" s="1">
        <v>4</v>
      </c>
      <c r="I107" s="1">
        <v>0</v>
      </c>
      <c r="J107" s="1">
        <v>1</v>
      </c>
      <c r="K107" s="1">
        <v>1</v>
      </c>
      <c r="L107" s="1">
        <v>5</v>
      </c>
      <c r="M107" s="1">
        <v>5</v>
      </c>
      <c r="N107" s="1">
        <v>6</v>
      </c>
      <c r="O107" s="1">
        <v>0</v>
      </c>
      <c r="P107" s="1">
        <v>4</v>
      </c>
      <c r="Q107" s="1">
        <v>6</v>
      </c>
      <c r="R107" s="1">
        <v>6</v>
      </c>
      <c r="S107" s="1">
        <v>2</v>
      </c>
      <c r="T107" s="1">
        <v>0</v>
      </c>
      <c r="U107" s="1">
        <v>2</v>
      </c>
      <c r="V107" s="1">
        <v>1</v>
      </c>
      <c r="W107" s="1">
        <v>2</v>
      </c>
      <c r="X107" s="1">
        <v>2</v>
      </c>
      <c r="Y107" s="1">
        <v>5</v>
      </c>
      <c r="Z107" s="1">
        <v>1</v>
      </c>
      <c r="AA107" s="1">
        <v>1</v>
      </c>
      <c r="AB107" s="1">
        <v>0</v>
      </c>
      <c r="AC107" s="1">
        <v>1</v>
      </c>
      <c r="AD107" s="1">
        <v>1</v>
      </c>
      <c r="AE107" s="1">
        <v>0</v>
      </c>
      <c r="AF107" s="1">
        <v>0</v>
      </c>
      <c r="AG107" s="1">
        <v>0</v>
      </c>
    </row>
    <row r="108" spans="1:33" ht="15" x14ac:dyDescent="0.3">
      <c r="A108" s="1" t="s">
        <v>347</v>
      </c>
      <c r="B108" s="1" t="s">
        <v>250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1</v>
      </c>
      <c r="N108" s="1">
        <v>2</v>
      </c>
      <c r="O108" s="1">
        <v>2</v>
      </c>
      <c r="P108" s="1">
        <v>0</v>
      </c>
      <c r="Q108" s="1">
        <v>5</v>
      </c>
      <c r="R108" s="1">
        <v>5</v>
      </c>
      <c r="S108" s="1">
        <v>4</v>
      </c>
      <c r="T108" s="1">
        <v>3</v>
      </c>
      <c r="U108" s="1">
        <v>1</v>
      </c>
      <c r="V108" s="1">
        <v>0</v>
      </c>
      <c r="W108" s="1">
        <v>2</v>
      </c>
      <c r="X108" s="1">
        <v>1</v>
      </c>
      <c r="Y108" s="1">
        <v>1</v>
      </c>
      <c r="Z108" s="1">
        <v>1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</row>
    <row r="109" spans="1:33" ht="15" x14ac:dyDescent="0.3">
      <c r="A109" s="1" t="s">
        <v>347</v>
      </c>
      <c r="B109" s="1" t="s">
        <v>251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2</v>
      </c>
      <c r="Q109" s="1">
        <v>0</v>
      </c>
      <c r="R109" s="1">
        <v>0</v>
      </c>
      <c r="S109" s="1">
        <v>1</v>
      </c>
      <c r="T109" s="1">
        <v>1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</row>
    <row r="110" spans="1:33" ht="15" x14ac:dyDescent="0.3">
      <c r="A110" s="1" t="s">
        <v>347</v>
      </c>
      <c r="B110" s="1" t="s">
        <v>252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3</v>
      </c>
      <c r="I110" s="1">
        <v>3</v>
      </c>
      <c r="J110" s="1">
        <v>3</v>
      </c>
      <c r="K110" s="1">
        <v>0</v>
      </c>
      <c r="L110" s="1">
        <v>2</v>
      </c>
      <c r="M110" s="1">
        <v>2</v>
      </c>
      <c r="N110" s="1">
        <v>1</v>
      </c>
      <c r="O110" s="1">
        <v>2</v>
      </c>
      <c r="P110" s="1">
        <v>4</v>
      </c>
      <c r="Q110" s="1">
        <v>3</v>
      </c>
      <c r="R110" s="1">
        <v>1</v>
      </c>
      <c r="S110" s="1">
        <v>2</v>
      </c>
      <c r="T110" s="1">
        <v>0</v>
      </c>
      <c r="U110" s="1">
        <v>3</v>
      </c>
      <c r="V110" s="1">
        <v>1</v>
      </c>
      <c r="W110" s="1">
        <v>0</v>
      </c>
      <c r="X110" s="1">
        <v>1</v>
      </c>
      <c r="Y110" s="1">
        <v>2</v>
      </c>
      <c r="Z110" s="1">
        <v>0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</row>
    <row r="111" spans="1:33" ht="15" x14ac:dyDescent="0.3">
      <c r="A111" s="1" t="s">
        <v>347</v>
      </c>
      <c r="B111" s="1" t="s">
        <v>253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2</v>
      </c>
      <c r="N111" s="1">
        <v>0</v>
      </c>
      <c r="O111" s="1">
        <v>0</v>
      </c>
      <c r="P111" s="1">
        <v>0</v>
      </c>
      <c r="Q111" s="1">
        <v>1</v>
      </c>
      <c r="R111" s="1">
        <v>0</v>
      </c>
      <c r="S111" s="1">
        <v>1</v>
      </c>
      <c r="T111" s="1">
        <v>0</v>
      </c>
      <c r="U111" s="1">
        <v>2</v>
      </c>
      <c r="V111" s="1">
        <v>2</v>
      </c>
      <c r="W111" s="1">
        <v>1</v>
      </c>
      <c r="X111" s="1">
        <v>1</v>
      </c>
      <c r="Y111" s="1">
        <v>2</v>
      </c>
      <c r="Z111" s="1">
        <v>0</v>
      </c>
      <c r="AA111" s="1">
        <v>0</v>
      </c>
      <c r="AB111" s="1">
        <v>4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ht="15" x14ac:dyDescent="0.3">
      <c r="A112" s="1" t="s">
        <v>347</v>
      </c>
      <c r="B112" s="1" t="s">
        <v>254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2</v>
      </c>
      <c r="K112" s="1">
        <v>0</v>
      </c>
      <c r="L112" s="1">
        <v>0</v>
      </c>
      <c r="M112" s="1">
        <v>0</v>
      </c>
      <c r="N112" s="1">
        <v>0</v>
      </c>
      <c r="O112" s="1">
        <v>5</v>
      </c>
      <c r="P112" s="1">
        <v>1</v>
      </c>
      <c r="Q112" s="1">
        <v>4</v>
      </c>
      <c r="R112" s="1">
        <v>3</v>
      </c>
      <c r="S112" s="1">
        <v>2</v>
      </c>
      <c r="T112" s="1">
        <v>1</v>
      </c>
      <c r="U112" s="1">
        <v>2</v>
      </c>
      <c r="V112" s="1">
        <v>4</v>
      </c>
      <c r="W112" s="1">
        <v>1</v>
      </c>
      <c r="X112" s="1">
        <v>3</v>
      </c>
      <c r="Y112" s="1">
        <v>0</v>
      </c>
      <c r="Z112" s="1">
        <v>1</v>
      </c>
      <c r="AA112" s="1">
        <v>0</v>
      </c>
      <c r="AB112" s="1">
        <v>1</v>
      </c>
      <c r="AC112" s="1">
        <v>0</v>
      </c>
      <c r="AD112" s="1">
        <v>2</v>
      </c>
      <c r="AE112" s="1">
        <v>0</v>
      </c>
      <c r="AF112" s="1">
        <v>0</v>
      </c>
      <c r="AG112" s="1">
        <v>0</v>
      </c>
    </row>
    <row r="113" spans="1:33" ht="15" x14ac:dyDescent="0.3">
      <c r="A113" s="1" t="s">
        <v>347</v>
      </c>
      <c r="B113" s="1" t="s">
        <v>255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1</v>
      </c>
      <c r="K113" s="1">
        <v>0</v>
      </c>
      <c r="L113" s="1">
        <v>1</v>
      </c>
      <c r="M113" s="1">
        <v>5</v>
      </c>
      <c r="N113" s="1">
        <v>4</v>
      </c>
      <c r="O113" s="1">
        <v>1</v>
      </c>
      <c r="P113" s="1">
        <v>2</v>
      </c>
      <c r="Q113" s="1">
        <v>4</v>
      </c>
      <c r="R113" s="1">
        <v>5</v>
      </c>
      <c r="S113" s="1">
        <v>2</v>
      </c>
      <c r="T113" s="1">
        <v>2</v>
      </c>
      <c r="U113" s="1">
        <v>2</v>
      </c>
      <c r="V113" s="1">
        <v>1</v>
      </c>
      <c r="W113" s="1">
        <v>0</v>
      </c>
      <c r="X113" s="1">
        <v>1</v>
      </c>
      <c r="Y113" s="1">
        <v>2</v>
      </c>
      <c r="Z113" s="1">
        <v>0</v>
      </c>
      <c r="AA113" s="1">
        <v>3</v>
      </c>
      <c r="AB113" s="1">
        <v>0</v>
      </c>
      <c r="AC113" s="1">
        <v>1</v>
      </c>
      <c r="AD113" s="1">
        <v>0</v>
      </c>
      <c r="AE113" s="1">
        <v>0</v>
      </c>
      <c r="AF113" s="1">
        <v>1</v>
      </c>
      <c r="AG113" s="1">
        <v>0</v>
      </c>
    </row>
    <row r="114" spans="1:33" ht="15" x14ac:dyDescent="0.3">
      <c r="A114" s="1" t="s">
        <v>347</v>
      </c>
      <c r="B114" s="1" t="s">
        <v>256</v>
      </c>
      <c r="C114" s="1">
        <v>1</v>
      </c>
      <c r="D114" s="1">
        <v>2</v>
      </c>
      <c r="E114" s="1">
        <v>0</v>
      </c>
      <c r="F114" s="1">
        <v>2</v>
      </c>
      <c r="G114" s="1">
        <v>3</v>
      </c>
      <c r="H114" s="1">
        <v>13</v>
      </c>
      <c r="I114" s="1">
        <v>6</v>
      </c>
      <c r="J114" s="1">
        <v>9</v>
      </c>
      <c r="K114" s="1">
        <v>4</v>
      </c>
      <c r="L114" s="1">
        <v>7</v>
      </c>
      <c r="M114" s="1">
        <v>4</v>
      </c>
      <c r="N114" s="1">
        <v>6</v>
      </c>
      <c r="O114" s="1">
        <v>9</v>
      </c>
      <c r="P114" s="1">
        <v>7</v>
      </c>
      <c r="Q114" s="1">
        <v>13</v>
      </c>
      <c r="R114" s="1">
        <v>7</v>
      </c>
      <c r="S114" s="1">
        <v>10</v>
      </c>
      <c r="T114" s="1">
        <v>10</v>
      </c>
      <c r="U114" s="1">
        <v>8</v>
      </c>
      <c r="V114" s="1">
        <v>6</v>
      </c>
      <c r="W114" s="1">
        <v>4</v>
      </c>
      <c r="X114" s="1">
        <v>2</v>
      </c>
      <c r="Y114" s="1">
        <v>5</v>
      </c>
      <c r="Z114" s="1">
        <v>4</v>
      </c>
      <c r="AA114" s="1">
        <v>1</v>
      </c>
      <c r="AB114" s="1">
        <v>2</v>
      </c>
      <c r="AC114" s="1">
        <v>4</v>
      </c>
      <c r="AD114" s="1">
        <v>3</v>
      </c>
      <c r="AE114" s="1">
        <v>3</v>
      </c>
      <c r="AF114" s="1">
        <v>2</v>
      </c>
      <c r="AG114" s="1">
        <v>1</v>
      </c>
    </row>
    <row r="115" spans="1:33" ht="15" x14ac:dyDescent="0.3">
      <c r="A115" s="1" t="s">
        <v>347</v>
      </c>
      <c r="B115" s="1" t="s">
        <v>257</v>
      </c>
      <c r="C115" s="1">
        <v>0</v>
      </c>
      <c r="D115" s="1">
        <v>0</v>
      </c>
      <c r="E115" s="1">
        <v>0</v>
      </c>
      <c r="F115" s="1">
        <v>0</v>
      </c>
      <c r="G115" s="1">
        <v>2</v>
      </c>
      <c r="H115" s="1">
        <v>5</v>
      </c>
      <c r="I115" s="1">
        <v>2</v>
      </c>
      <c r="J115" s="1">
        <v>1</v>
      </c>
      <c r="K115" s="1">
        <v>7</v>
      </c>
      <c r="L115" s="1">
        <v>9</v>
      </c>
      <c r="M115" s="1">
        <v>5</v>
      </c>
      <c r="N115" s="1">
        <v>10</v>
      </c>
      <c r="O115" s="1">
        <v>6</v>
      </c>
      <c r="P115" s="1">
        <v>12</v>
      </c>
      <c r="Q115" s="1">
        <v>14</v>
      </c>
      <c r="R115" s="1">
        <v>0</v>
      </c>
      <c r="S115" s="1">
        <v>17</v>
      </c>
      <c r="T115" s="1">
        <v>8</v>
      </c>
      <c r="U115" s="1">
        <v>7</v>
      </c>
      <c r="V115" s="1">
        <v>3</v>
      </c>
      <c r="W115" s="1">
        <v>7</v>
      </c>
      <c r="X115" s="1">
        <v>3</v>
      </c>
      <c r="Y115" s="1">
        <v>2</v>
      </c>
      <c r="Z115" s="1">
        <v>6</v>
      </c>
      <c r="AA115" s="1">
        <v>3</v>
      </c>
      <c r="AB115" s="1">
        <v>1</v>
      </c>
      <c r="AC115" s="1">
        <v>0</v>
      </c>
      <c r="AD115" s="1">
        <v>0</v>
      </c>
      <c r="AE115" s="1">
        <v>1</v>
      </c>
      <c r="AF115" s="1">
        <v>0</v>
      </c>
      <c r="AG115" s="1">
        <v>0</v>
      </c>
    </row>
    <row r="116" spans="1:33" ht="15" x14ac:dyDescent="0.3">
      <c r="A116" s="1" t="s">
        <v>347</v>
      </c>
      <c r="B116" s="1" t="s">
        <v>258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</v>
      </c>
      <c r="J116" s="1">
        <v>3</v>
      </c>
      <c r="K116" s="1">
        <v>1</v>
      </c>
      <c r="L116" s="1">
        <v>0</v>
      </c>
      <c r="M116" s="1">
        <v>0</v>
      </c>
      <c r="N116" s="1">
        <v>0</v>
      </c>
      <c r="O116" s="1">
        <v>2</v>
      </c>
      <c r="P116" s="1">
        <v>0</v>
      </c>
      <c r="Q116" s="1">
        <v>2</v>
      </c>
      <c r="R116" s="1">
        <v>0</v>
      </c>
      <c r="S116" s="1">
        <v>0</v>
      </c>
      <c r="T116" s="1">
        <v>1</v>
      </c>
      <c r="U116" s="1">
        <v>2</v>
      </c>
      <c r="V116" s="1">
        <v>4</v>
      </c>
      <c r="W116" s="1">
        <v>0</v>
      </c>
      <c r="X116" s="1">
        <v>1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</row>
    <row r="117" spans="1:33" ht="15" x14ac:dyDescent="0.3">
      <c r="A117" s="1" t="s">
        <v>355</v>
      </c>
      <c r="B117" s="1" t="s">
        <v>139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1</v>
      </c>
      <c r="K117" s="1">
        <v>0</v>
      </c>
      <c r="L117" s="1">
        <v>0</v>
      </c>
      <c r="M117" s="1">
        <v>1</v>
      </c>
      <c r="N117" s="1">
        <v>2</v>
      </c>
      <c r="O117" s="1">
        <v>1</v>
      </c>
      <c r="P117" s="1">
        <v>1</v>
      </c>
      <c r="Q117" s="1">
        <v>1</v>
      </c>
      <c r="R117" s="1">
        <v>1</v>
      </c>
      <c r="S117" s="1">
        <v>0</v>
      </c>
      <c r="T117" s="1">
        <v>1</v>
      </c>
      <c r="U117" s="1">
        <v>1</v>
      </c>
      <c r="V117" s="1">
        <v>2</v>
      </c>
      <c r="W117" s="1">
        <v>1</v>
      </c>
      <c r="X117" s="1">
        <v>1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1</v>
      </c>
      <c r="AF117" s="1">
        <v>0</v>
      </c>
      <c r="AG117" s="1">
        <v>0</v>
      </c>
    </row>
    <row r="118" spans="1:33" ht="15" x14ac:dyDescent="0.3">
      <c r="A118" s="1" t="s">
        <v>355</v>
      </c>
      <c r="B118" s="1" t="s">
        <v>140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ht="15" x14ac:dyDescent="0.3">
      <c r="A119" s="1" t="s">
        <v>355</v>
      </c>
      <c r="B119" s="1" t="s">
        <v>141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4</v>
      </c>
      <c r="L119" s="1">
        <v>0</v>
      </c>
      <c r="M119" s="1">
        <v>3</v>
      </c>
      <c r="N119" s="1">
        <v>3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1</v>
      </c>
      <c r="U119" s="1">
        <v>0</v>
      </c>
      <c r="V119" s="1">
        <v>0</v>
      </c>
      <c r="W119" s="1">
        <v>1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ht="15" x14ac:dyDescent="0.3">
      <c r="A120" s="1" t="s">
        <v>355</v>
      </c>
      <c r="B120" s="1" t="s">
        <v>142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</v>
      </c>
      <c r="P120" s="1">
        <v>3</v>
      </c>
      <c r="Q120" s="1">
        <v>5</v>
      </c>
      <c r="R120" s="1">
        <v>4</v>
      </c>
      <c r="S120" s="1">
        <v>4</v>
      </c>
      <c r="T120" s="1">
        <v>16</v>
      </c>
      <c r="U120" s="1">
        <v>0</v>
      </c>
      <c r="V120" s="1">
        <v>2</v>
      </c>
      <c r="W120" s="1">
        <v>0</v>
      </c>
      <c r="X120" s="1">
        <v>0</v>
      </c>
      <c r="Y120" s="1">
        <v>1</v>
      </c>
      <c r="Z120" s="1">
        <v>0</v>
      </c>
      <c r="AA120" s="1">
        <v>9</v>
      </c>
      <c r="AB120" s="1">
        <v>0</v>
      </c>
      <c r="AC120" s="1">
        <v>1</v>
      </c>
      <c r="AD120" s="1">
        <v>1</v>
      </c>
      <c r="AE120" s="1">
        <v>2</v>
      </c>
      <c r="AF120" s="1">
        <v>0</v>
      </c>
      <c r="AG120" s="1">
        <v>0</v>
      </c>
    </row>
    <row r="121" spans="1:33" ht="15" x14ac:dyDescent="0.3">
      <c r="A121" s="1" t="s">
        <v>355</v>
      </c>
      <c r="B121" s="1" t="s">
        <v>143</v>
      </c>
      <c r="C121" s="1">
        <v>0</v>
      </c>
      <c r="D121" s="1">
        <v>0</v>
      </c>
      <c r="E121" s="1">
        <v>1</v>
      </c>
      <c r="F121" s="1">
        <v>0</v>
      </c>
      <c r="G121" s="1">
        <v>5</v>
      </c>
      <c r="H121" s="1">
        <v>2</v>
      </c>
      <c r="I121" s="1">
        <v>0</v>
      </c>
      <c r="J121" s="1">
        <v>2</v>
      </c>
      <c r="K121" s="1">
        <v>1</v>
      </c>
      <c r="L121" s="1">
        <v>2</v>
      </c>
      <c r="M121" s="1">
        <v>5</v>
      </c>
      <c r="N121" s="1">
        <v>7</v>
      </c>
      <c r="O121" s="1">
        <v>9</v>
      </c>
      <c r="P121" s="1">
        <v>11</v>
      </c>
      <c r="Q121" s="1">
        <v>18</v>
      </c>
      <c r="R121" s="1">
        <v>10</v>
      </c>
      <c r="S121" s="1">
        <v>9</v>
      </c>
      <c r="T121" s="1">
        <v>12</v>
      </c>
      <c r="U121" s="1">
        <v>7</v>
      </c>
      <c r="V121" s="1">
        <v>15</v>
      </c>
      <c r="W121" s="1">
        <v>14</v>
      </c>
      <c r="X121" s="1">
        <v>18</v>
      </c>
      <c r="Y121" s="1">
        <v>4</v>
      </c>
      <c r="Z121" s="1">
        <v>9</v>
      </c>
      <c r="AA121" s="1">
        <v>5</v>
      </c>
      <c r="AB121" s="1">
        <v>3</v>
      </c>
      <c r="AC121" s="1">
        <v>15</v>
      </c>
      <c r="AD121" s="1">
        <v>6</v>
      </c>
      <c r="AE121" s="1">
        <v>2</v>
      </c>
      <c r="AF121" s="1">
        <v>2</v>
      </c>
      <c r="AG121" s="1">
        <v>2</v>
      </c>
    </row>
    <row r="122" spans="1:33" ht="15" x14ac:dyDescent="0.3">
      <c r="A122" s="1" t="s">
        <v>355</v>
      </c>
      <c r="B122" s="1" t="s">
        <v>144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ht="15" x14ac:dyDescent="0.3">
      <c r="A123" s="1" t="s">
        <v>355</v>
      </c>
      <c r="B123" s="1" t="s">
        <v>145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2</v>
      </c>
      <c r="I123" s="1">
        <v>2</v>
      </c>
      <c r="J123" s="1">
        <v>0</v>
      </c>
      <c r="K123" s="1">
        <v>0</v>
      </c>
      <c r="L123" s="1">
        <v>0</v>
      </c>
      <c r="M123" s="1">
        <v>2</v>
      </c>
      <c r="N123" s="1">
        <v>1</v>
      </c>
      <c r="O123" s="1">
        <v>0</v>
      </c>
      <c r="P123" s="1">
        <v>3</v>
      </c>
      <c r="Q123" s="1">
        <v>0</v>
      </c>
      <c r="R123" s="1">
        <v>0</v>
      </c>
      <c r="S123" s="1">
        <v>2</v>
      </c>
      <c r="T123" s="1">
        <v>0</v>
      </c>
      <c r="U123" s="1">
        <v>0</v>
      </c>
      <c r="V123" s="1">
        <v>0</v>
      </c>
      <c r="W123" s="1">
        <v>0</v>
      </c>
      <c r="X123" s="1">
        <v>1</v>
      </c>
      <c r="Y123" s="1">
        <v>1</v>
      </c>
      <c r="Z123" s="1">
        <v>0</v>
      </c>
      <c r="AA123" s="1">
        <v>3</v>
      </c>
      <c r="AB123" s="1">
        <v>1</v>
      </c>
      <c r="AC123" s="1">
        <v>0</v>
      </c>
      <c r="AD123" s="1">
        <v>1</v>
      </c>
      <c r="AE123" s="1">
        <v>0</v>
      </c>
      <c r="AF123" s="1">
        <v>3</v>
      </c>
      <c r="AG123" s="1">
        <v>3</v>
      </c>
    </row>
    <row r="124" spans="1:33" ht="15" x14ac:dyDescent="0.3">
      <c r="A124" s="1" t="s">
        <v>355</v>
      </c>
      <c r="B124" s="1" t="s">
        <v>146</v>
      </c>
      <c r="C124" s="1">
        <v>0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4</v>
      </c>
      <c r="O124" s="1">
        <v>1</v>
      </c>
      <c r="P124" s="1">
        <v>1</v>
      </c>
      <c r="Q124" s="1">
        <v>0</v>
      </c>
      <c r="R124" s="1">
        <v>1</v>
      </c>
      <c r="S124" s="1">
        <v>1</v>
      </c>
      <c r="T124" s="1">
        <v>1</v>
      </c>
      <c r="U124" s="1">
        <v>2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1</v>
      </c>
      <c r="AF124" s="1">
        <v>0</v>
      </c>
      <c r="AG124" s="1">
        <v>1</v>
      </c>
    </row>
    <row r="125" spans="1:33" ht="15" x14ac:dyDescent="0.3">
      <c r="A125" s="1" t="s">
        <v>355</v>
      </c>
      <c r="B125" s="1" t="s">
        <v>147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1</v>
      </c>
      <c r="I125" s="1">
        <v>1</v>
      </c>
      <c r="J125" s="1">
        <v>5</v>
      </c>
      <c r="K125" s="1">
        <v>0</v>
      </c>
      <c r="L125" s="1">
        <v>2</v>
      </c>
      <c r="M125" s="1">
        <v>2</v>
      </c>
      <c r="N125" s="1">
        <v>1</v>
      </c>
      <c r="O125" s="1">
        <v>1</v>
      </c>
      <c r="P125" s="1">
        <v>2</v>
      </c>
      <c r="Q125" s="1">
        <v>6</v>
      </c>
      <c r="R125" s="1">
        <v>2</v>
      </c>
      <c r="S125" s="1">
        <v>5</v>
      </c>
      <c r="T125" s="1">
        <v>10</v>
      </c>
      <c r="U125" s="1">
        <v>5</v>
      </c>
      <c r="V125" s="1">
        <v>0</v>
      </c>
      <c r="W125" s="1">
        <v>2</v>
      </c>
      <c r="X125" s="1">
        <v>2</v>
      </c>
      <c r="Y125" s="1">
        <v>4</v>
      </c>
      <c r="Z125" s="1">
        <v>2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</row>
    <row r="126" spans="1:33" ht="15" x14ac:dyDescent="0.3">
      <c r="A126" s="1" t="s">
        <v>355</v>
      </c>
      <c r="B126" s="1" t="s">
        <v>148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1</v>
      </c>
      <c r="N126" s="1">
        <v>2</v>
      </c>
      <c r="O126" s="1">
        <v>2</v>
      </c>
      <c r="P126" s="1">
        <v>0</v>
      </c>
      <c r="Q126" s="1">
        <v>3</v>
      </c>
      <c r="R126" s="1">
        <v>3</v>
      </c>
      <c r="S126" s="1">
        <v>9</v>
      </c>
      <c r="T126" s="1">
        <v>8</v>
      </c>
      <c r="U126" s="1">
        <v>2</v>
      </c>
      <c r="V126" s="1">
        <v>6</v>
      </c>
      <c r="W126" s="1">
        <v>0</v>
      </c>
      <c r="X126" s="1">
        <v>4</v>
      </c>
      <c r="Y126" s="1">
        <v>5</v>
      </c>
      <c r="Z126" s="1">
        <v>1</v>
      </c>
      <c r="AA126" s="1">
        <v>0</v>
      </c>
      <c r="AB126" s="1">
        <v>1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</row>
    <row r="127" spans="1:33" ht="15" x14ac:dyDescent="0.3">
      <c r="A127" s="1" t="s">
        <v>355</v>
      </c>
      <c r="B127" s="1" t="s">
        <v>149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0</v>
      </c>
      <c r="U127" s="1">
        <v>1</v>
      </c>
      <c r="V127" s="1">
        <v>1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ht="15" x14ac:dyDescent="0.3">
      <c r="A128" s="1" t="s">
        <v>355</v>
      </c>
      <c r="B128" s="1" t="s">
        <v>150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  <c r="V128" s="1">
        <v>0</v>
      </c>
      <c r="W128" s="1">
        <v>2</v>
      </c>
      <c r="X128" s="1">
        <v>0</v>
      </c>
      <c r="Y128" s="1">
        <v>2</v>
      </c>
      <c r="Z128" s="1">
        <v>4</v>
      </c>
      <c r="AA128" s="1">
        <v>3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0</v>
      </c>
    </row>
    <row r="129" spans="1:33" ht="15" x14ac:dyDescent="0.3">
      <c r="A129" s="1" t="s">
        <v>355</v>
      </c>
      <c r="B129" s="1" t="s">
        <v>151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1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3</v>
      </c>
      <c r="R129" s="1">
        <v>14</v>
      </c>
      <c r="S129" s="1">
        <v>6</v>
      </c>
      <c r="T129" s="1">
        <v>1</v>
      </c>
      <c r="U129" s="1">
        <v>0</v>
      </c>
      <c r="V129" s="1">
        <v>0</v>
      </c>
      <c r="W129" s="1">
        <v>3</v>
      </c>
      <c r="X129" s="1">
        <v>2</v>
      </c>
      <c r="Y129" s="1">
        <v>1</v>
      </c>
      <c r="Z129" s="1">
        <v>0</v>
      </c>
      <c r="AA129" s="1">
        <v>3</v>
      </c>
      <c r="AB129" s="1">
        <v>0</v>
      </c>
      <c r="AC129" s="1">
        <v>2</v>
      </c>
      <c r="AD129" s="1">
        <v>4</v>
      </c>
      <c r="AE129" s="1">
        <v>1</v>
      </c>
      <c r="AF129" s="1">
        <v>0</v>
      </c>
      <c r="AG129" s="1">
        <v>0</v>
      </c>
    </row>
    <row r="130" spans="1:33" ht="15" x14ac:dyDescent="0.3">
      <c r="A130" s="1" t="s">
        <v>96</v>
      </c>
      <c r="B130" s="1" t="s">
        <v>97</v>
      </c>
      <c r="C130" s="1">
        <v>0</v>
      </c>
      <c r="D130" s="1">
        <v>0</v>
      </c>
      <c r="E130" s="1">
        <v>0</v>
      </c>
      <c r="F130" s="1">
        <v>2</v>
      </c>
      <c r="G130" s="1">
        <v>8</v>
      </c>
      <c r="H130" s="1">
        <v>1</v>
      </c>
      <c r="I130" s="1">
        <v>1</v>
      </c>
      <c r="J130" s="1">
        <v>15</v>
      </c>
      <c r="K130" s="1">
        <v>5</v>
      </c>
      <c r="L130" s="1">
        <v>23</v>
      </c>
      <c r="M130" s="1">
        <v>35</v>
      </c>
      <c r="N130" s="1">
        <v>7</v>
      </c>
      <c r="O130" s="1">
        <v>43</v>
      </c>
      <c r="P130" s="1">
        <v>29</v>
      </c>
      <c r="Q130" s="1">
        <v>19</v>
      </c>
      <c r="R130" s="1">
        <v>37</v>
      </c>
      <c r="S130" s="1">
        <v>40</v>
      </c>
      <c r="T130" s="1">
        <v>42</v>
      </c>
      <c r="U130" s="1">
        <v>52</v>
      </c>
      <c r="V130" s="1">
        <v>20</v>
      </c>
      <c r="W130" s="1">
        <v>37</v>
      </c>
      <c r="X130" s="1">
        <v>22</v>
      </c>
      <c r="Y130" s="1">
        <v>22</v>
      </c>
      <c r="Z130" s="1">
        <v>20</v>
      </c>
      <c r="AA130" s="1">
        <v>20</v>
      </c>
      <c r="AB130" s="1">
        <v>14</v>
      </c>
      <c r="AC130" s="1">
        <v>9</v>
      </c>
      <c r="AD130" s="1">
        <v>8</v>
      </c>
      <c r="AE130" s="1">
        <v>13</v>
      </c>
      <c r="AF130" s="1">
        <v>18</v>
      </c>
      <c r="AG130" s="1">
        <v>5</v>
      </c>
    </row>
    <row r="131" spans="1:33" ht="15" x14ac:dyDescent="0.3">
      <c r="A131" s="1" t="s">
        <v>96</v>
      </c>
      <c r="B131" s="1" t="s">
        <v>98</v>
      </c>
      <c r="C131" s="1">
        <v>0</v>
      </c>
      <c r="D131" s="1">
        <v>0</v>
      </c>
      <c r="E131" s="1">
        <v>0</v>
      </c>
      <c r="F131" s="1">
        <v>1</v>
      </c>
      <c r="G131" s="1">
        <v>4</v>
      </c>
      <c r="H131" s="1">
        <v>15</v>
      </c>
      <c r="I131" s="1">
        <v>22</v>
      </c>
      <c r="J131" s="1">
        <v>23</v>
      </c>
      <c r="K131" s="1">
        <v>23</v>
      </c>
      <c r="L131" s="1">
        <v>31</v>
      </c>
      <c r="M131" s="1">
        <v>31</v>
      </c>
      <c r="N131" s="1">
        <v>27</v>
      </c>
      <c r="O131" s="1">
        <v>35</v>
      </c>
      <c r="P131" s="1">
        <v>44</v>
      </c>
      <c r="Q131" s="1">
        <v>35</v>
      </c>
      <c r="R131" s="1">
        <v>27</v>
      </c>
      <c r="S131" s="1">
        <v>35</v>
      </c>
      <c r="T131" s="1">
        <v>42</v>
      </c>
      <c r="U131" s="1">
        <v>43</v>
      </c>
      <c r="V131" s="1">
        <v>29</v>
      </c>
      <c r="W131" s="1">
        <v>14</v>
      </c>
      <c r="X131" s="1">
        <v>24</v>
      </c>
      <c r="Y131" s="1">
        <v>31</v>
      </c>
      <c r="Z131" s="1">
        <v>26</v>
      </c>
      <c r="AA131" s="1">
        <v>24</v>
      </c>
      <c r="AB131" s="1">
        <v>11</v>
      </c>
      <c r="AC131" s="1">
        <v>5</v>
      </c>
      <c r="AD131" s="1">
        <v>10</v>
      </c>
      <c r="AE131" s="1">
        <v>14</v>
      </c>
      <c r="AF131" s="1">
        <v>12</v>
      </c>
      <c r="AG131" s="1">
        <v>5</v>
      </c>
    </row>
    <row r="132" spans="1:33" ht="15" x14ac:dyDescent="0.3">
      <c r="A132" s="1" t="s">
        <v>96</v>
      </c>
      <c r="B132" s="1" t="s">
        <v>99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43</v>
      </c>
      <c r="I132" s="1">
        <v>21</v>
      </c>
      <c r="J132" s="1">
        <v>27</v>
      </c>
      <c r="K132" s="1">
        <v>21</v>
      </c>
      <c r="L132" s="1">
        <v>18</v>
      </c>
      <c r="M132" s="1">
        <v>36</v>
      </c>
      <c r="N132" s="1">
        <v>40</v>
      </c>
      <c r="O132" s="1">
        <v>40</v>
      </c>
      <c r="P132" s="1">
        <v>50</v>
      </c>
      <c r="Q132" s="1">
        <v>52</v>
      </c>
      <c r="R132" s="1">
        <v>36</v>
      </c>
      <c r="S132" s="1">
        <v>15</v>
      </c>
      <c r="T132" s="1">
        <v>44</v>
      </c>
      <c r="U132" s="1">
        <v>33</v>
      </c>
      <c r="V132" s="1">
        <v>17</v>
      </c>
      <c r="W132" s="1">
        <v>14</v>
      </c>
      <c r="X132" s="1">
        <v>8</v>
      </c>
      <c r="Y132" s="1">
        <v>10</v>
      </c>
      <c r="Z132" s="1">
        <v>9</v>
      </c>
      <c r="AA132" s="1">
        <v>200</v>
      </c>
      <c r="AB132" s="1">
        <v>108</v>
      </c>
      <c r="AC132" s="1">
        <v>12</v>
      </c>
      <c r="AD132" s="1">
        <v>9</v>
      </c>
      <c r="AE132" s="1">
        <v>7</v>
      </c>
      <c r="AF132" s="1">
        <v>-36</v>
      </c>
      <c r="AG132" s="1">
        <v>2</v>
      </c>
    </row>
    <row r="133" spans="1:33" ht="15" x14ac:dyDescent="0.3">
      <c r="A133" s="1" t="s">
        <v>96</v>
      </c>
      <c r="B133" s="1" t="s">
        <v>100</v>
      </c>
      <c r="C133" s="1">
        <v>0</v>
      </c>
      <c r="D133" s="1">
        <v>0</v>
      </c>
      <c r="E133" s="1">
        <v>0</v>
      </c>
      <c r="F133" s="1">
        <v>0</v>
      </c>
      <c r="G133" s="1">
        <v>3</v>
      </c>
      <c r="H133" s="1">
        <v>2</v>
      </c>
      <c r="I133" s="1">
        <v>8</v>
      </c>
      <c r="J133" s="1">
        <v>10</v>
      </c>
      <c r="K133" s="1">
        <v>11</v>
      </c>
      <c r="L133" s="1">
        <v>10</v>
      </c>
      <c r="M133" s="1">
        <v>23</v>
      </c>
      <c r="N133" s="1">
        <v>15</v>
      </c>
      <c r="O133" s="1">
        <v>17</v>
      </c>
      <c r="P133" s="1">
        <v>16</v>
      </c>
      <c r="Q133" s="1">
        <v>2</v>
      </c>
      <c r="R133" s="1">
        <v>11</v>
      </c>
      <c r="S133" s="1">
        <v>10</v>
      </c>
      <c r="T133" s="1">
        <v>25</v>
      </c>
      <c r="U133" s="1">
        <v>16</v>
      </c>
      <c r="V133" s="1">
        <v>18</v>
      </c>
      <c r="W133" s="1">
        <v>20</v>
      </c>
      <c r="X133" s="1">
        <v>44</v>
      </c>
      <c r="Y133" s="1">
        <v>32</v>
      </c>
      <c r="Z133" s="1">
        <v>69</v>
      </c>
      <c r="AA133" s="1">
        <v>54</v>
      </c>
      <c r="AB133" s="1">
        <v>6</v>
      </c>
      <c r="AC133" s="1">
        <v>25</v>
      </c>
      <c r="AD133" s="1">
        <v>38</v>
      </c>
      <c r="AE133" s="1">
        <v>15</v>
      </c>
      <c r="AF133" s="1">
        <v>-14</v>
      </c>
      <c r="AG133" s="1">
        <v>2</v>
      </c>
    </row>
    <row r="134" spans="1:33" ht="15" x14ac:dyDescent="0.3">
      <c r="A134" s="1" t="s">
        <v>96</v>
      </c>
      <c r="B134" s="1" t="s">
        <v>101</v>
      </c>
      <c r="C134" s="1">
        <v>0</v>
      </c>
      <c r="D134" s="1">
        <v>0</v>
      </c>
      <c r="E134" s="1">
        <v>0</v>
      </c>
      <c r="F134" s="1">
        <v>22</v>
      </c>
      <c r="G134" s="1">
        <v>4</v>
      </c>
      <c r="H134" s="1">
        <v>29</v>
      </c>
      <c r="I134" s="1">
        <v>45</v>
      </c>
      <c r="J134" s="1">
        <v>73</v>
      </c>
      <c r="K134" s="1">
        <v>101</v>
      </c>
      <c r="L134" s="1">
        <v>125</v>
      </c>
      <c r="M134" s="1">
        <v>142</v>
      </c>
      <c r="N134" s="1">
        <v>87</v>
      </c>
      <c r="O134" s="1">
        <v>121</v>
      </c>
      <c r="P134" s="1">
        <v>169</v>
      </c>
      <c r="Q134" s="1">
        <v>202</v>
      </c>
      <c r="R134" s="1">
        <v>342</v>
      </c>
      <c r="S134" s="1">
        <v>424</v>
      </c>
      <c r="T134" s="1">
        <v>255</v>
      </c>
      <c r="U134" s="1">
        <v>172</v>
      </c>
      <c r="V134" s="1">
        <v>123</v>
      </c>
      <c r="W134" s="1">
        <v>105</v>
      </c>
      <c r="X134" s="1">
        <v>101</v>
      </c>
      <c r="Y134" s="1">
        <v>109</v>
      </c>
      <c r="Z134" s="1">
        <v>123</v>
      </c>
      <c r="AA134" s="1">
        <v>135</v>
      </c>
      <c r="AB134" s="1">
        <v>105</v>
      </c>
      <c r="AC134" s="1">
        <v>87</v>
      </c>
      <c r="AD134" s="1">
        <v>78</v>
      </c>
      <c r="AE134" s="1">
        <v>41</v>
      </c>
      <c r="AF134" s="1">
        <v>24</v>
      </c>
      <c r="AG134" s="1">
        <v>-15</v>
      </c>
    </row>
    <row r="135" spans="1:33" ht="15" x14ac:dyDescent="0.3">
      <c r="A135" s="1" t="s">
        <v>96</v>
      </c>
      <c r="B135" s="1" t="s">
        <v>102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19</v>
      </c>
      <c r="I135" s="1">
        <v>11</v>
      </c>
      <c r="J135" s="1">
        <v>20</v>
      </c>
      <c r="K135" s="1">
        <v>12</v>
      </c>
      <c r="L135" s="1">
        <v>54</v>
      </c>
      <c r="M135" s="1">
        <v>50</v>
      </c>
      <c r="N135" s="1">
        <v>109</v>
      </c>
      <c r="O135" s="1">
        <v>77</v>
      </c>
      <c r="P135" s="1">
        <v>39</v>
      </c>
      <c r="Q135" s="1">
        <v>60</v>
      </c>
      <c r="R135" s="1">
        <v>44</v>
      </c>
      <c r="S135" s="1">
        <v>67</v>
      </c>
      <c r="T135" s="1">
        <v>47</v>
      </c>
      <c r="U135" s="1">
        <v>23</v>
      </c>
      <c r="V135" s="1">
        <v>78</v>
      </c>
      <c r="W135" s="1">
        <v>45</v>
      </c>
      <c r="X135" s="1">
        <v>22</v>
      </c>
      <c r="Y135" s="1">
        <v>13</v>
      </c>
      <c r="Z135" s="1">
        <v>26</v>
      </c>
      <c r="AA135" s="1">
        <v>67</v>
      </c>
      <c r="AB135" s="1">
        <v>29</v>
      </c>
      <c r="AC135" s="1">
        <v>-5</v>
      </c>
      <c r="AD135" s="1">
        <v>-6</v>
      </c>
      <c r="AE135" s="1">
        <v>9</v>
      </c>
      <c r="AF135" s="1">
        <v>3</v>
      </c>
      <c r="AG135" s="1">
        <v>3</v>
      </c>
    </row>
    <row r="136" spans="1:33" ht="15" x14ac:dyDescent="0.3">
      <c r="A136" s="1" t="s">
        <v>96</v>
      </c>
      <c r="B136" s="1" t="s">
        <v>103</v>
      </c>
      <c r="C136" s="1">
        <v>0</v>
      </c>
      <c r="D136" s="1">
        <v>0</v>
      </c>
      <c r="E136" s="1">
        <v>0</v>
      </c>
      <c r="F136" s="1">
        <v>0</v>
      </c>
      <c r="G136" s="1">
        <v>11</v>
      </c>
      <c r="H136" s="1">
        <v>6</v>
      </c>
      <c r="I136" s="1">
        <v>8</v>
      </c>
      <c r="J136" s="1">
        <v>13</v>
      </c>
      <c r="K136" s="1">
        <v>13</v>
      </c>
      <c r="L136" s="1">
        <v>15</v>
      </c>
      <c r="M136" s="1">
        <v>9</v>
      </c>
      <c r="N136" s="1">
        <v>12</v>
      </c>
      <c r="O136" s="1">
        <v>18</v>
      </c>
      <c r="P136" s="1">
        <v>6</v>
      </c>
      <c r="Q136" s="1">
        <v>12</v>
      </c>
      <c r="R136" s="1">
        <v>15</v>
      </c>
      <c r="S136" s="1">
        <v>6</v>
      </c>
      <c r="T136" s="1">
        <v>13</v>
      </c>
      <c r="U136" s="1">
        <v>3</v>
      </c>
      <c r="V136" s="1">
        <v>11</v>
      </c>
      <c r="W136" s="1">
        <v>21</v>
      </c>
      <c r="X136" s="1">
        <v>8</v>
      </c>
      <c r="Y136" s="1">
        <v>8</v>
      </c>
      <c r="Z136" s="1">
        <v>26</v>
      </c>
      <c r="AA136" s="1">
        <v>8</v>
      </c>
      <c r="AB136" s="1">
        <v>7</v>
      </c>
      <c r="AC136" s="1">
        <v>3</v>
      </c>
      <c r="AD136" s="1">
        <v>2</v>
      </c>
      <c r="AE136" s="1">
        <v>1</v>
      </c>
      <c r="AF136" s="1">
        <v>-1</v>
      </c>
      <c r="AG136" s="1">
        <v>0</v>
      </c>
    </row>
    <row r="137" spans="1:33" ht="15" x14ac:dyDescent="0.3">
      <c r="A137" s="1" t="s">
        <v>96</v>
      </c>
      <c r="B137" s="1" t="s">
        <v>104</v>
      </c>
      <c r="C137" s="1">
        <v>60</v>
      </c>
      <c r="D137" s="1">
        <v>105</v>
      </c>
      <c r="E137" s="1">
        <v>62</v>
      </c>
      <c r="F137" s="1">
        <v>70</v>
      </c>
      <c r="G137" s="1">
        <v>77</v>
      </c>
      <c r="H137" s="1">
        <v>46</v>
      </c>
      <c r="I137" s="1">
        <v>80</v>
      </c>
      <c r="J137" s="1">
        <v>892</v>
      </c>
      <c r="K137" s="1">
        <v>315</v>
      </c>
      <c r="L137" s="1">
        <v>356</v>
      </c>
      <c r="M137" s="1">
        <v>378</v>
      </c>
      <c r="N137" s="1">
        <v>576</v>
      </c>
      <c r="O137" s="1">
        <v>894</v>
      </c>
      <c r="P137" s="1">
        <v>1033</v>
      </c>
      <c r="Q137" s="1">
        <v>1242</v>
      </c>
      <c r="R137" s="1">
        <v>1967</v>
      </c>
      <c r="S137" s="1">
        <v>1766</v>
      </c>
      <c r="T137" s="1">
        <v>1501</v>
      </c>
      <c r="U137" s="1">
        <v>1985</v>
      </c>
      <c r="V137" s="1">
        <v>1379</v>
      </c>
      <c r="W137" s="1">
        <v>1921</v>
      </c>
      <c r="X137" s="1">
        <v>1552</v>
      </c>
      <c r="Y137" s="1">
        <v>1104</v>
      </c>
      <c r="Z137" s="1">
        <v>13436</v>
      </c>
      <c r="AA137" s="1">
        <v>3910</v>
      </c>
      <c r="AB137" s="1">
        <v>1923</v>
      </c>
      <c r="AC137" s="1">
        <v>1548</v>
      </c>
      <c r="AD137" s="1">
        <v>1690</v>
      </c>
      <c r="AE137" s="1">
        <v>1600</v>
      </c>
      <c r="AF137" s="1">
        <v>1660</v>
      </c>
      <c r="AG137" s="1">
        <v>615</v>
      </c>
    </row>
    <row r="138" spans="1:33" ht="15" x14ac:dyDescent="0.3">
      <c r="A138" s="1" t="s">
        <v>96</v>
      </c>
      <c r="B138" s="1" t="s">
        <v>105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5</v>
      </c>
      <c r="J138" s="1">
        <v>2</v>
      </c>
      <c r="K138" s="1">
        <v>1</v>
      </c>
      <c r="L138" s="1">
        <v>2</v>
      </c>
      <c r="M138" s="1">
        <v>2</v>
      </c>
      <c r="N138" s="1">
        <v>15</v>
      </c>
      <c r="O138" s="1">
        <v>8</v>
      </c>
      <c r="P138" s="1">
        <v>0</v>
      </c>
      <c r="Q138" s="1">
        <v>9</v>
      </c>
      <c r="R138" s="1">
        <v>10</v>
      </c>
      <c r="S138" s="1">
        <v>10</v>
      </c>
      <c r="T138" s="1">
        <v>10</v>
      </c>
      <c r="U138" s="1">
        <v>6</v>
      </c>
      <c r="V138" s="1">
        <v>2</v>
      </c>
      <c r="W138" s="1">
        <v>3</v>
      </c>
      <c r="X138" s="1">
        <v>5</v>
      </c>
      <c r="Y138" s="1">
        <v>0</v>
      </c>
      <c r="Z138" s="1">
        <v>4</v>
      </c>
      <c r="AA138" s="1">
        <v>10</v>
      </c>
      <c r="AB138" s="1">
        <v>12</v>
      </c>
      <c r="AC138" s="1">
        <v>50</v>
      </c>
      <c r="AD138" s="1">
        <v>16</v>
      </c>
      <c r="AE138" s="1">
        <v>3</v>
      </c>
      <c r="AF138" s="1">
        <v>0</v>
      </c>
      <c r="AG138" s="1">
        <v>0</v>
      </c>
    </row>
    <row r="139" spans="1:33" ht="15" x14ac:dyDescent="0.3">
      <c r="A139" s="1" t="s">
        <v>96</v>
      </c>
      <c r="B139" s="1" t="s">
        <v>106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1</v>
      </c>
      <c r="K139" s="1">
        <v>2</v>
      </c>
      <c r="L139" s="1">
        <v>2</v>
      </c>
      <c r="M139" s="1">
        <v>2</v>
      </c>
      <c r="N139" s="1">
        <v>0</v>
      </c>
      <c r="O139" s="1">
        <v>0</v>
      </c>
      <c r="P139" s="1">
        <v>0</v>
      </c>
      <c r="Q139" s="1">
        <v>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ht="15" x14ac:dyDescent="0.3">
      <c r="A140" s="1" t="s">
        <v>96</v>
      </c>
      <c r="B140" s="1" t="s">
        <v>107</v>
      </c>
      <c r="C140" s="1">
        <v>0</v>
      </c>
      <c r="D140" s="1">
        <v>0</v>
      </c>
      <c r="E140" s="1">
        <v>6</v>
      </c>
      <c r="F140" s="1">
        <v>2</v>
      </c>
      <c r="G140" s="1">
        <v>2</v>
      </c>
      <c r="H140" s="1">
        <v>23</v>
      </c>
      <c r="I140" s="1">
        <v>14</v>
      </c>
      <c r="J140" s="1">
        <v>24</v>
      </c>
      <c r="K140" s="1">
        <v>30</v>
      </c>
      <c r="L140" s="1">
        <v>50</v>
      </c>
      <c r="M140" s="1">
        <v>70</v>
      </c>
      <c r="N140" s="1">
        <v>66</v>
      </c>
      <c r="O140" s="1">
        <v>46</v>
      </c>
      <c r="P140" s="1">
        <v>166</v>
      </c>
      <c r="Q140" s="1">
        <v>114</v>
      </c>
      <c r="R140" s="1">
        <v>100</v>
      </c>
      <c r="S140" s="1">
        <v>88</v>
      </c>
      <c r="T140" s="1">
        <v>84</v>
      </c>
      <c r="U140" s="1">
        <v>56</v>
      </c>
      <c r="V140" s="1">
        <v>56</v>
      </c>
      <c r="W140" s="1">
        <v>48</v>
      </c>
      <c r="X140" s="1">
        <v>30</v>
      </c>
      <c r="Y140" s="1">
        <v>35</v>
      </c>
      <c r="Z140" s="1">
        <v>321</v>
      </c>
      <c r="AA140" s="1">
        <v>54</v>
      </c>
      <c r="AB140" s="1">
        <v>31</v>
      </c>
      <c r="AC140" s="1">
        <v>12</v>
      </c>
      <c r="AD140" s="1">
        <v>11</v>
      </c>
      <c r="AE140" s="1">
        <v>36</v>
      </c>
      <c r="AF140" s="1">
        <v>4</v>
      </c>
      <c r="AG140" s="1">
        <v>12</v>
      </c>
    </row>
    <row r="141" spans="1:33" ht="15" x14ac:dyDescent="0.3">
      <c r="A141" s="1" t="s">
        <v>96</v>
      </c>
      <c r="B141" s="1" t="s">
        <v>108</v>
      </c>
      <c r="C141" s="1">
        <v>0</v>
      </c>
      <c r="D141" s="1">
        <v>0</v>
      </c>
      <c r="E141" s="1">
        <v>1</v>
      </c>
      <c r="F141" s="1">
        <v>7</v>
      </c>
      <c r="G141" s="1">
        <v>13</v>
      </c>
      <c r="H141" s="1">
        <v>17</v>
      </c>
      <c r="I141" s="1">
        <v>52</v>
      </c>
      <c r="J141" s="1">
        <v>24</v>
      </c>
      <c r="K141" s="1">
        <v>28</v>
      </c>
      <c r="L141" s="1">
        <v>49</v>
      </c>
      <c r="M141" s="1">
        <v>36</v>
      </c>
      <c r="N141" s="1">
        <v>24</v>
      </c>
      <c r="O141" s="1">
        <v>78</v>
      </c>
      <c r="P141" s="1">
        <v>16</v>
      </c>
      <c r="Q141" s="1">
        <v>55</v>
      </c>
      <c r="R141" s="1">
        <v>22</v>
      </c>
      <c r="S141" s="1">
        <v>86</v>
      </c>
      <c r="T141" s="1">
        <v>45</v>
      </c>
      <c r="U141" s="1">
        <v>35</v>
      </c>
      <c r="V141" s="1">
        <v>75</v>
      </c>
      <c r="W141" s="1">
        <v>12</v>
      </c>
      <c r="X141" s="1">
        <v>15</v>
      </c>
      <c r="Y141" s="1">
        <v>40</v>
      </c>
      <c r="Z141" s="1">
        <v>231</v>
      </c>
      <c r="AA141" s="1">
        <v>21</v>
      </c>
      <c r="AB141" s="1">
        <v>1</v>
      </c>
      <c r="AC141" s="1">
        <v>7</v>
      </c>
      <c r="AD141" s="1">
        <v>6</v>
      </c>
      <c r="AE141" s="1">
        <v>-15</v>
      </c>
      <c r="AF141" s="1">
        <v>1</v>
      </c>
      <c r="AG141" s="1">
        <v>5</v>
      </c>
    </row>
    <row r="142" spans="1:33" ht="15" x14ac:dyDescent="0.3">
      <c r="A142" s="1" t="s">
        <v>96</v>
      </c>
      <c r="B142" s="1" t="s">
        <v>109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2</v>
      </c>
      <c r="I142" s="1">
        <v>34</v>
      </c>
      <c r="J142" s="1">
        <v>34</v>
      </c>
      <c r="K142" s="1">
        <v>61</v>
      </c>
      <c r="L142" s="1">
        <v>32</v>
      </c>
      <c r="M142" s="1">
        <v>123</v>
      </c>
      <c r="N142" s="1">
        <v>61</v>
      </c>
      <c r="O142" s="1">
        <v>94</v>
      </c>
      <c r="P142" s="1">
        <v>107</v>
      </c>
      <c r="Q142" s="1">
        <v>84</v>
      </c>
      <c r="R142" s="1">
        <v>103</v>
      </c>
      <c r="S142" s="1">
        <v>52</v>
      </c>
      <c r="T142" s="1">
        <v>51</v>
      </c>
      <c r="U142" s="1">
        <v>69</v>
      </c>
      <c r="V142" s="1">
        <v>81</v>
      </c>
      <c r="W142" s="1">
        <v>57</v>
      </c>
      <c r="X142" s="1">
        <v>44</v>
      </c>
      <c r="Y142" s="1">
        <v>25</v>
      </c>
      <c r="Z142" s="1">
        <v>13</v>
      </c>
      <c r="AA142" s="1">
        <v>10</v>
      </c>
      <c r="AB142" s="1">
        <v>17</v>
      </c>
      <c r="AC142" s="1">
        <v>16</v>
      </c>
      <c r="AD142" s="1">
        <v>11</v>
      </c>
      <c r="AE142" s="1">
        <v>8</v>
      </c>
      <c r="AF142" s="1">
        <v>2</v>
      </c>
      <c r="AG142" s="1">
        <v>3</v>
      </c>
    </row>
    <row r="143" spans="1:33" ht="15" x14ac:dyDescent="0.3">
      <c r="A143" s="1" t="s">
        <v>96</v>
      </c>
      <c r="B143" s="1" t="s">
        <v>110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19</v>
      </c>
      <c r="J143" s="1">
        <v>37</v>
      </c>
      <c r="K143" s="1">
        <v>27</v>
      </c>
      <c r="L143" s="1">
        <v>39</v>
      </c>
      <c r="M143" s="1">
        <v>66</v>
      </c>
      <c r="N143" s="1">
        <v>38</v>
      </c>
      <c r="O143" s="1">
        <v>51</v>
      </c>
      <c r="P143" s="1">
        <v>28</v>
      </c>
      <c r="Q143" s="1">
        <v>26</v>
      </c>
      <c r="R143" s="1">
        <v>50</v>
      </c>
      <c r="S143" s="1">
        <v>41</v>
      </c>
      <c r="T143" s="1">
        <v>48</v>
      </c>
      <c r="U143" s="1">
        <v>98</v>
      </c>
      <c r="V143" s="1">
        <v>70</v>
      </c>
      <c r="W143" s="1">
        <v>89</v>
      </c>
      <c r="X143" s="1">
        <v>65</v>
      </c>
      <c r="Y143" s="1">
        <v>71</v>
      </c>
      <c r="Z143" s="1">
        <v>204</v>
      </c>
      <c r="AA143" s="1">
        <v>69</v>
      </c>
      <c r="AB143" s="1">
        <v>67</v>
      </c>
      <c r="AC143" s="1">
        <v>38</v>
      </c>
      <c r="AD143" s="1">
        <v>44</v>
      </c>
      <c r="AE143" s="1">
        <v>65</v>
      </c>
      <c r="AF143" s="1">
        <v>4</v>
      </c>
      <c r="AG143" s="1">
        <v>25</v>
      </c>
    </row>
    <row r="144" spans="1:33" ht="15" x14ac:dyDescent="0.3">
      <c r="A144" s="1" t="s">
        <v>96</v>
      </c>
      <c r="B144" s="1" t="s">
        <v>111</v>
      </c>
      <c r="C144" s="1">
        <v>0</v>
      </c>
      <c r="D144" s="1">
        <v>0</v>
      </c>
      <c r="E144" s="1">
        <v>0</v>
      </c>
      <c r="F144" s="1">
        <v>0</v>
      </c>
      <c r="G144" s="1">
        <v>5</v>
      </c>
      <c r="H144" s="1">
        <v>31</v>
      </c>
      <c r="I144" s="1">
        <v>16</v>
      </c>
      <c r="J144" s="1">
        <v>18</v>
      </c>
      <c r="K144" s="1">
        <v>46</v>
      </c>
      <c r="L144" s="1">
        <v>27</v>
      </c>
      <c r="M144" s="1">
        <v>85</v>
      </c>
      <c r="N144" s="1">
        <v>76</v>
      </c>
      <c r="O144" s="1">
        <v>80</v>
      </c>
      <c r="P144" s="1">
        <v>74</v>
      </c>
      <c r="Q144" s="1">
        <v>183</v>
      </c>
      <c r="R144" s="1">
        <v>65</v>
      </c>
      <c r="S144" s="1">
        <v>128</v>
      </c>
      <c r="T144" s="1">
        <v>81</v>
      </c>
      <c r="U144" s="1">
        <v>38</v>
      </c>
      <c r="V144" s="1">
        <v>31</v>
      </c>
      <c r="W144" s="1">
        <v>65</v>
      </c>
      <c r="X144" s="1">
        <v>46</v>
      </c>
      <c r="Y144" s="1">
        <v>34</v>
      </c>
      <c r="Z144" s="1">
        <v>31</v>
      </c>
      <c r="AA144" s="1">
        <v>46</v>
      </c>
      <c r="AB144" s="1">
        <v>26</v>
      </c>
      <c r="AC144" s="1">
        <v>22</v>
      </c>
      <c r="AD144" s="1">
        <v>13</v>
      </c>
      <c r="AE144" s="1">
        <v>11</v>
      </c>
      <c r="AF144" s="1">
        <v>2</v>
      </c>
      <c r="AG144" s="1">
        <v>8</v>
      </c>
    </row>
    <row r="145" spans="1:33" ht="15" x14ac:dyDescent="0.3">
      <c r="A145" s="1" t="s">
        <v>96</v>
      </c>
      <c r="B145" s="1" t="s">
        <v>112</v>
      </c>
      <c r="C145" s="1">
        <v>12</v>
      </c>
      <c r="D145" s="1">
        <v>0</v>
      </c>
      <c r="E145" s="1">
        <v>0</v>
      </c>
      <c r="F145" s="1">
        <v>0</v>
      </c>
      <c r="G145" s="1">
        <v>52</v>
      </c>
      <c r="H145" s="1">
        <v>58</v>
      </c>
      <c r="I145" s="1">
        <v>32</v>
      </c>
      <c r="J145" s="1">
        <v>59</v>
      </c>
      <c r="K145" s="1">
        <v>111</v>
      </c>
      <c r="L145" s="1">
        <v>172</v>
      </c>
      <c r="M145" s="1">
        <v>77</v>
      </c>
      <c r="N145" s="1">
        <v>153</v>
      </c>
      <c r="O145" s="1">
        <v>276</v>
      </c>
      <c r="P145" s="1">
        <v>244</v>
      </c>
      <c r="Q145" s="1">
        <v>176</v>
      </c>
      <c r="R145" s="1">
        <v>223</v>
      </c>
      <c r="S145" s="1">
        <v>162</v>
      </c>
      <c r="T145" s="1">
        <v>90</v>
      </c>
      <c r="U145" s="1">
        <v>144</v>
      </c>
      <c r="V145" s="1">
        <v>100</v>
      </c>
      <c r="W145" s="1">
        <v>115</v>
      </c>
      <c r="X145" s="1">
        <v>80</v>
      </c>
      <c r="Y145" s="1">
        <v>66</v>
      </c>
      <c r="Z145" s="1">
        <v>264</v>
      </c>
      <c r="AA145" s="1">
        <v>163</v>
      </c>
      <c r="AB145" s="1">
        <v>26</v>
      </c>
      <c r="AC145" s="1">
        <v>6</v>
      </c>
      <c r="AD145" s="1">
        <v>8</v>
      </c>
      <c r="AE145" s="1">
        <v>-3</v>
      </c>
      <c r="AF145" s="1">
        <v>16</v>
      </c>
      <c r="AG145" s="1">
        <v>22</v>
      </c>
    </row>
    <row r="146" spans="1:33" ht="15" x14ac:dyDescent="0.3">
      <c r="A146" s="1" t="s">
        <v>96</v>
      </c>
      <c r="B146" s="1" t="s">
        <v>113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31</v>
      </c>
      <c r="I146" s="1">
        <v>5</v>
      </c>
      <c r="J146" s="1">
        <v>17</v>
      </c>
      <c r="K146" s="1">
        <v>33</v>
      </c>
      <c r="L146" s="1">
        <v>27</v>
      </c>
      <c r="M146" s="1">
        <v>55</v>
      </c>
      <c r="N146" s="1">
        <v>41</v>
      </c>
      <c r="O146" s="1">
        <v>43</v>
      </c>
      <c r="P146" s="1">
        <v>82</v>
      </c>
      <c r="Q146" s="1">
        <v>71</v>
      </c>
      <c r="R146" s="1">
        <v>104</v>
      </c>
      <c r="S146" s="1">
        <v>57</v>
      </c>
      <c r="T146" s="1">
        <v>69</v>
      </c>
      <c r="U146" s="1">
        <v>68</v>
      </c>
      <c r="V146" s="1">
        <v>57</v>
      </c>
      <c r="W146" s="1">
        <v>52</v>
      </c>
      <c r="X146" s="1">
        <v>30</v>
      </c>
      <c r="Y146" s="1">
        <v>39</v>
      </c>
      <c r="Z146" s="1">
        <v>37</v>
      </c>
      <c r="AA146" s="1">
        <v>32</v>
      </c>
      <c r="AB146" s="1">
        <v>37</v>
      </c>
      <c r="AC146" s="1">
        <v>8</v>
      </c>
      <c r="AD146" s="1">
        <v>-5</v>
      </c>
      <c r="AE146" s="1">
        <v>2</v>
      </c>
      <c r="AF146" s="1">
        <v>-2</v>
      </c>
      <c r="AG146" s="1">
        <v>2</v>
      </c>
    </row>
    <row r="147" spans="1:33" ht="15" x14ac:dyDescent="0.3">
      <c r="A147" s="1" t="s">
        <v>346</v>
      </c>
      <c r="B147" s="1" t="s">
        <v>259</v>
      </c>
      <c r="C147" s="1">
        <v>0</v>
      </c>
      <c r="D147" s="1">
        <v>0</v>
      </c>
      <c r="E147" s="1">
        <v>0</v>
      </c>
      <c r="F147" s="1">
        <v>3</v>
      </c>
      <c r="G147" s="1">
        <v>2</v>
      </c>
      <c r="H147" s="1">
        <v>0</v>
      </c>
      <c r="I147" s="1">
        <v>2</v>
      </c>
      <c r="J147" s="1">
        <v>2</v>
      </c>
      <c r="K147" s="1">
        <v>4</v>
      </c>
      <c r="L147" s="1">
        <v>3</v>
      </c>
      <c r="M147" s="1">
        <v>4</v>
      </c>
      <c r="N147" s="1">
        <v>6</v>
      </c>
      <c r="O147" s="1">
        <v>3</v>
      </c>
      <c r="P147" s="1">
        <v>6</v>
      </c>
      <c r="Q147" s="1">
        <v>5</v>
      </c>
      <c r="R147" s="1">
        <v>5</v>
      </c>
      <c r="S147" s="1">
        <v>5</v>
      </c>
      <c r="T147" s="1">
        <v>3</v>
      </c>
      <c r="U147" s="1">
        <v>6</v>
      </c>
      <c r="V147" s="1">
        <v>5</v>
      </c>
      <c r="W147" s="1">
        <v>2</v>
      </c>
      <c r="X147" s="1">
        <v>3</v>
      </c>
      <c r="Y147" s="1">
        <v>0</v>
      </c>
      <c r="Z147" s="1">
        <v>3</v>
      </c>
      <c r="AA147" s="1">
        <v>1</v>
      </c>
      <c r="AB147" s="1">
        <v>2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</row>
    <row r="148" spans="1:33" ht="15" x14ac:dyDescent="0.3">
      <c r="A148" s="1" t="s">
        <v>346</v>
      </c>
      <c r="B148" s="1" t="s">
        <v>260</v>
      </c>
      <c r="C148" s="1">
        <v>0</v>
      </c>
      <c r="D148" s="1">
        <v>0</v>
      </c>
      <c r="E148" s="1">
        <v>0</v>
      </c>
      <c r="F148" s="1">
        <v>3</v>
      </c>
      <c r="G148" s="1">
        <v>2</v>
      </c>
      <c r="H148" s="1">
        <v>1</v>
      </c>
      <c r="I148" s="1">
        <v>1</v>
      </c>
      <c r="J148" s="1">
        <v>10</v>
      </c>
      <c r="K148" s="1">
        <v>9</v>
      </c>
      <c r="L148" s="1">
        <v>3</v>
      </c>
      <c r="M148" s="1">
        <v>8</v>
      </c>
      <c r="N148" s="1">
        <v>8</v>
      </c>
      <c r="O148" s="1">
        <v>8</v>
      </c>
      <c r="P148" s="1">
        <v>17</v>
      </c>
      <c r="Q148" s="1">
        <v>13</v>
      </c>
      <c r="R148" s="1">
        <v>6</v>
      </c>
      <c r="S148" s="1">
        <v>4</v>
      </c>
      <c r="T148" s="1">
        <v>14</v>
      </c>
      <c r="U148" s="1">
        <v>4</v>
      </c>
      <c r="V148" s="1">
        <v>4</v>
      </c>
      <c r="W148" s="1">
        <v>9</v>
      </c>
      <c r="X148" s="1">
        <v>10</v>
      </c>
      <c r="Y148" s="1">
        <v>12</v>
      </c>
      <c r="Z148" s="1">
        <v>2</v>
      </c>
      <c r="AA148" s="1">
        <v>1</v>
      </c>
      <c r="AB148" s="1">
        <v>4</v>
      </c>
      <c r="AC148" s="1">
        <v>1</v>
      </c>
      <c r="AD148" s="1">
        <v>0</v>
      </c>
      <c r="AE148" s="1">
        <v>1</v>
      </c>
      <c r="AF148" s="1">
        <v>0</v>
      </c>
      <c r="AG148" s="1">
        <v>1</v>
      </c>
    </row>
    <row r="149" spans="1:33" ht="15" x14ac:dyDescent="0.3">
      <c r="A149" s="1" t="s">
        <v>346</v>
      </c>
      <c r="B149" s="1" t="s">
        <v>261</v>
      </c>
      <c r="C149" s="1">
        <v>0</v>
      </c>
      <c r="D149" s="1">
        <v>0</v>
      </c>
      <c r="E149" s="1">
        <v>0</v>
      </c>
      <c r="F149" s="1">
        <v>0</v>
      </c>
      <c r="G149" s="1">
        <v>3</v>
      </c>
      <c r="H149" s="1">
        <v>4</v>
      </c>
      <c r="I149" s="1">
        <v>5</v>
      </c>
      <c r="J149" s="1">
        <v>7</v>
      </c>
      <c r="K149" s="1">
        <v>7</v>
      </c>
      <c r="L149" s="1">
        <v>4</v>
      </c>
      <c r="M149" s="1">
        <v>7</v>
      </c>
      <c r="N149" s="1">
        <v>2</v>
      </c>
      <c r="O149" s="1">
        <v>3</v>
      </c>
      <c r="P149" s="1">
        <v>3</v>
      </c>
      <c r="Q149" s="1">
        <v>5</v>
      </c>
      <c r="R149" s="1">
        <v>6</v>
      </c>
      <c r="S149" s="1">
        <v>6</v>
      </c>
      <c r="T149" s="1">
        <v>2</v>
      </c>
      <c r="U149" s="1">
        <v>2</v>
      </c>
      <c r="V149" s="1">
        <v>0</v>
      </c>
      <c r="W149" s="1">
        <v>6</v>
      </c>
      <c r="X149" s="1">
        <v>1</v>
      </c>
      <c r="Y149" s="1">
        <v>2</v>
      </c>
      <c r="Z149" s="1">
        <v>2</v>
      </c>
      <c r="AA149" s="1">
        <v>1</v>
      </c>
      <c r="AB149" s="1">
        <v>0</v>
      </c>
      <c r="AC149" s="1">
        <v>1</v>
      </c>
      <c r="AD149" s="1">
        <v>0</v>
      </c>
      <c r="AE149" s="1">
        <v>0</v>
      </c>
      <c r="AF149" s="1">
        <v>0</v>
      </c>
      <c r="AG149" s="1">
        <v>0</v>
      </c>
    </row>
    <row r="150" spans="1:33" ht="15" x14ac:dyDescent="0.3">
      <c r="A150" s="1" t="s">
        <v>346</v>
      </c>
      <c r="B150" s="1" t="s">
        <v>262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2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ht="15" x14ac:dyDescent="0.3">
      <c r="A151" s="1" t="s">
        <v>346</v>
      </c>
      <c r="B151" s="1" t="s">
        <v>263</v>
      </c>
      <c r="C151" s="1">
        <v>0</v>
      </c>
      <c r="D151" s="1">
        <v>3</v>
      </c>
      <c r="E151" s="1">
        <v>0</v>
      </c>
      <c r="F151" s="1">
        <v>0</v>
      </c>
      <c r="G151" s="1">
        <v>2</v>
      </c>
      <c r="H151" s="1">
        <v>3</v>
      </c>
      <c r="I151" s="1">
        <v>3</v>
      </c>
      <c r="J151" s="1">
        <v>5</v>
      </c>
      <c r="K151" s="1">
        <v>2</v>
      </c>
      <c r="L151" s="1">
        <v>5</v>
      </c>
      <c r="M151" s="1">
        <v>3</v>
      </c>
      <c r="N151" s="1">
        <v>2</v>
      </c>
      <c r="O151" s="1">
        <v>3</v>
      </c>
      <c r="P151" s="1">
        <v>1</v>
      </c>
      <c r="Q151" s="1">
        <v>3</v>
      </c>
      <c r="R151" s="1">
        <v>0</v>
      </c>
      <c r="S151" s="1">
        <v>1</v>
      </c>
      <c r="T151" s="1">
        <v>2</v>
      </c>
      <c r="U151" s="1">
        <v>0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ht="15" x14ac:dyDescent="0.3">
      <c r="A152" s="1" t="s">
        <v>346</v>
      </c>
      <c r="B152" s="1" t="s">
        <v>264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2</v>
      </c>
      <c r="I152" s="1">
        <v>2</v>
      </c>
      <c r="J152" s="1">
        <v>2</v>
      </c>
      <c r="K152" s="1">
        <v>6</v>
      </c>
      <c r="L152" s="1">
        <v>5</v>
      </c>
      <c r="M152" s="1">
        <v>1</v>
      </c>
      <c r="N152" s="1">
        <v>3</v>
      </c>
      <c r="O152" s="1">
        <v>3</v>
      </c>
      <c r="P152" s="1">
        <v>1</v>
      </c>
      <c r="Q152" s="1">
        <v>8</v>
      </c>
      <c r="R152" s="1">
        <v>4</v>
      </c>
      <c r="S152" s="1">
        <v>3</v>
      </c>
      <c r="T152" s="1">
        <v>5</v>
      </c>
      <c r="U152" s="1">
        <v>2</v>
      </c>
      <c r="V152" s="1">
        <v>10</v>
      </c>
      <c r="W152" s="1">
        <v>3</v>
      </c>
      <c r="X152" s="1">
        <v>7</v>
      </c>
      <c r="Y152" s="1">
        <v>3</v>
      </c>
      <c r="Z152" s="1">
        <v>4</v>
      </c>
      <c r="AA152" s="1">
        <v>2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</row>
    <row r="153" spans="1:33" ht="15" x14ac:dyDescent="0.3">
      <c r="A153" s="1" t="s">
        <v>346</v>
      </c>
      <c r="B153" s="1" t="s">
        <v>265</v>
      </c>
      <c r="C153" s="1">
        <v>0</v>
      </c>
      <c r="D153" s="1">
        <v>0</v>
      </c>
      <c r="E153" s="1">
        <v>1</v>
      </c>
      <c r="F153" s="1">
        <v>3</v>
      </c>
      <c r="G153" s="1">
        <v>0</v>
      </c>
      <c r="H153" s="1">
        <v>0</v>
      </c>
      <c r="I153" s="1">
        <v>0</v>
      </c>
      <c r="J153" s="1">
        <v>3</v>
      </c>
      <c r="K153" s="1">
        <v>4</v>
      </c>
      <c r="L153" s="1">
        <v>3</v>
      </c>
      <c r="M153" s="1">
        <v>2</v>
      </c>
      <c r="N153" s="1">
        <v>2</v>
      </c>
      <c r="O153" s="1">
        <v>4</v>
      </c>
      <c r="P153" s="1">
        <v>4</v>
      </c>
      <c r="Q153" s="1">
        <v>0</v>
      </c>
      <c r="R153" s="1">
        <v>4</v>
      </c>
      <c r="S153" s="1">
        <v>2</v>
      </c>
      <c r="T153" s="1">
        <v>6</v>
      </c>
      <c r="U153" s="1">
        <v>2</v>
      </c>
      <c r="V153" s="1">
        <v>0</v>
      </c>
      <c r="W153" s="1">
        <v>1</v>
      </c>
      <c r="X153" s="1">
        <v>1</v>
      </c>
      <c r="Y153" s="1">
        <v>1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</row>
    <row r="154" spans="1:33" ht="15" x14ac:dyDescent="0.3">
      <c r="A154" s="1" t="s">
        <v>346</v>
      </c>
      <c r="B154" s="1" t="s">
        <v>266</v>
      </c>
      <c r="C154" s="1">
        <v>0</v>
      </c>
      <c r="D154" s="1">
        <v>0</v>
      </c>
      <c r="E154" s="1">
        <v>0</v>
      </c>
      <c r="F154" s="1">
        <v>1</v>
      </c>
      <c r="G154" s="1">
        <v>1</v>
      </c>
      <c r="H154" s="1">
        <v>1</v>
      </c>
      <c r="I154" s="1">
        <v>1</v>
      </c>
      <c r="J154" s="1">
        <v>2</v>
      </c>
      <c r="K154" s="1">
        <v>2</v>
      </c>
      <c r="L154" s="1">
        <v>1</v>
      </c>
      <c r="M154" s="1">
        <v>1</v>
      </c>
      <c r="N154" s="1">
        <v>3</v>
      </c>
      <c r="O154" s="1">
        <v>3</v>
      </c>
      <c r="P154" s="1">
        <v>3</v>
      </c>
      <c r="Q154" s="1">
        <v>2</v>
      </c>
      <c r="R154" s="1">
        <v>2</v>
      </c>
      <c r="S154" s="1">
        <v>1</v>
      </c>
      <c r="T154" s="1">
        <v>1</v>
      </c>
      <c r="U154" s="1">
        <v>3</v>
      </c>
      <c r="V154" s="1">
        <v>0</v>
      </c>
      <c r="W154" s="1">
        <v>3</v>
      </c>
      <c r="X154" s="1">
        <v>1</v>
      </c>
      <c r="Y154" s="1">
        <v>0</v>
      </c>
      <c r="Z154" s="1">
        <v>0</v>
      </c>
      <c r="AA154" s="1">
        <v>2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ht="15" x14ac:dyDescent="0.3">
      <c r="A155" s="1" t="s">
        <v>346</v>
      </c>
      <c r="B155" s="1" t="s">
        <v>20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3</v>
      </c>
      <c r="I155" s="1">
        <v>0</v>
      </c>
      <c r="J155" s="1">
        <v>0</v>
      </c>
      <c r="K155" s="1">
        <v>0</v>
      </c>
      <c r="L155" s="1">
        <v>1</v>
      </c>
      <c r="M155" s="1">
        <v>1</v>
      </c>
      <c r="N155" s="1">
        <v>1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ht="15" x14ac:dyDescent="0.3">
      <c r="A156" s="1" t="s">
        <v>346</v>
      </c>
      <c r="B156" s="1" t="s">
        <v>267</v>
      </c>
      <c r="C156" s="1">
        <v>0</v>
      </c>
      <c r="D156" s="1">
        <v>0</v>
      </c>
      <c r="E156" s="1">
        <v>0</v>
      </c>
      <c r="F156" s="1">
        <v>0</v>
      </c>
      <c r="G156" s="1">
        <v>4</v>
      </c>
      <c r="H156" s="1">
        <v>0</v>
      </c>
      <c r="I156" s="1">
        <v>3</v>
      </c>
      <c r="J156" s="1">
        <v>3</v>
      </c>
      <c r="K156" s="1">
        <v>4</v>
      </c>
      <c r="L156" s="1">
        <v>3</v>
      </c>
      <c r="M156" s="1">
        <v>3</v>
      </c>
      <c r="N156" s="1">
        <v>4</v>
      </c>
      <c r="O156" s="1">
        <v>3</v>
      </c>
      <c r="P156" s="1">
        <v>3</v>
      </c>
      <c r="Q156" s="1">
        <v>5</v>
      </c>
      <c r="R156" s="1">
        <v>5</v>
      </c>
      <c r="S156" s="1">
        <v>1</v>
      </c>
      <c r="T156" s="1">
        <v>2</v>
      </c>
      <c r="U156" s="1">
        <v>1</v>
      </c>
      <c r="V156" s="1">
        <v>2</v>
      </c>
      <c r="W156" s="1">
        <v>7</v>
      </c>
      <c r="X156" s="1">
        <v>1</v>
      </c>
      <c r="Y156" s="1">
        <v>4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</row>
    <row r="157" spans="1:33" ht="15" x14ac:dyDescent="0.3">
      <c r="A157" s="1" t="s">
        <v>346</v>
      </c>
      <c r="B157" s="1" t="s">
        <v>268</v>
      </c>
      <c r="C157" s="1">
        <v>0</v>
      </c>
      <c r="D157" s="1">
        <v>0</v>
      </c>
      <c r="E157" s="1">
        <v>0</v>
      </c>
      <c r="F157" s="1">
        <v>0</v>
      </c>
      <c r="G157" s="1">
        <v>3</v>
      </c>
      <c r="H157" s="1">
        <v>0</v>
      </c>
      <c r="I157" s="1">
        <v>1</v>
      </c>
      <c r="J157" s="1">
        <v>3</v>
      </c>
      <c r="K157" s="1">
        <v>10</v>
      </c>
      <c r="L157" s="1">
        <v>3</v>
      </c>
      <c r="M157" s="1">
        <v>5</v>
      </c>
      <c r="N157" s="1">
        <v>1</v>
      </c>
      <c r="O157" s="1">
        <v>4</v>
      </c>
      <c r="P157" s="1">
        <v>2</v>
      </c>
      <c r="Q157" s="1">
        <v>3</v>
      </c>
      <c r="R157" s="1">
        <v>4</v>
      </c>
      <c r="S157" s="1">
        <v>4</v>
      </c>
      <c r="T157" s="1">
        <v>0</v>
      </c>
      <c r="U157" s="1">
        <v>0</v>
      </c>
      <c r="V157" s="1">
        <v>2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1</v>
      </c>
      <c r="AC157" s="1">
        <v>0</v>
      </c>
      <c r="AD157" s="1">
        <v>1</v>
      </c>
      <c r="AE157" s="1">
        <v>0</v>
      </c>
      <c r="AF157" s="1">
        <v>0</v>
      </c>
      <c r="AG157" s="1">
        <v>0</v>
      </c>
    </row>
    <row r="158" spans="1:33" ht="15" x14ac:dyDescent="0.3">
      <c r="A158" s="1" t="s">
        <v>346</v>
      </c>
      <c r="B158" s="1" t="s">
        <v>269</v>
      </c>
      <c r="C158" s="1">
        <v>0</v>
      </c>
      <c r="D158" s="1">
        <v>0</v>
      </c>
      <c r="E158" s="1">
        <v>0</v>
      </c>
      <c r="F158" s="1">
        <v>0</v>
      </c>
      <c r="G158" s="1">
        <v>2</v>
      </c>
      <c r="H158" s="1">
        <v>0</v>
      </c>
      <c r="I158" s="1">
        <v>6</v>
      </c>
      <c r="J158" s="1">
        <v>3</v>
      </c>
      <c r="K158" s="1">
        <v>8</v>
      </c>
      <c r="L158" s="1">
        <v>10</v>
      </c>
      <c r="M158" s="1">
        <v>7</v>
      </c>
      <c r="N158" s="1">
        <v>5</v>
      </c>
      <c r="O158" s="1">
        <v>8</v>
      </c>
      <c r="P158" s="1">
        <v>2</v>
      </c>
      <c r="Q158" s="1">
        <v>4</v>
      </c>
      <c r="R158" s="1">
        <v>13</v>
      </c>
      <c r="S158" s="1">
        <v>6</v>
      </c>
      <c r="T158" s="1">
        <v>9</v>
      </c>
      <c r="U158" s="1">
        <v>3</v>
      </c>
      <c r="V158" s="1">
        <v>1</v>
      </c>
      <c r="W158" s="1">
        <v>2</v>
      </c>
      <c r="X158" s="1">
        <v>2</v>
      </c>
      <c r="Y158" s="1">
        <v>3</v>
      </c>
      <c r="Z158" s="1">
        <v>5</v>
      </c>
      <c r="AA158" s="1">
        <v>1</v>
      </c>
      <c r="AB158" s="1">
        <v>0</v>
      </c>
      <c r="AC158" s="1">
        <v>1</v>
      </c>
      <c r="AD158" s="1">
        <v>0</v>
      </c>
      <c r="AE158" s="1">
        <v>0</v>
      </c>
      <c r="AF158" s="1">
        <v>0</v>
      </c>
      <c r="AG158" s="1">
        <v>0</v>
      </c>
    </row>
    <row r="159" spans="1:33" ht="15" x14ac:dyDescent="0.3">
      <c r="A159" s="1" t="s">
        <v>346</v>
      </c>
      <c r="B159" s="1" t="s">
        <v>270</v>
      </c>
      <c r="C159" s="1">
        <v>0</v>
      </c>
      <c r="D159" s="1">
        <v>0</v>
      </c>
      <c r="E159" s="1">
        <v>1</v>
      </c>
      <c r="F159" s="1">
        <v>0</v>
      </c>
      <c r="G159" s="1">
        <v>0</v>
      </c>
      <c r="H159" s="1">
        <v>2</v>
      </c>
      <c r="I159" s="1">
        <v>3</v>
      </c>
      <c r="J159" s="1">
        <v>1</v>
      </c>
      <c r="K159" s="1">
        <v>0</v>
      </c>
      <c r="L159" s="1">
        <v>3</v>
      </c>
      <c r="M159" s="1">
        <v>2</v>
      </c>
      <c r="N159" s="1">
        <v>1</v>
      </c>
      <c r="O159" s="1">
        <v>5</v>
      </c>
      <c r="P159" s="1">
        <v>3</v>
      </c>
      <c r="Q159" s="1">
        <v>1</v>
      </c>
      <c r="R159" s="1">
        <v>2</v>
      </c>
      <c r="S159" s="1">
        <v>1</v>
      </c>
      <c r="T159" s="1">
        <v>4</v>
      </c>
      <c r="U159" s="1">
        <v>2</v>
      </c>
      <c r="V159" s="1">
        <v>1</v>
      </c>
      <c r="W159" s="1">
        <v>0</v>
      </c>
      <c r="X159" s="1">
        <v>1</v>
      </c>
      <c r="Y159" s="1">
        <v>5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ht="15" x14ac:dyDescent="0.3">
      <c r="A160" s="1" t="s">
        <v>346</v>
      </c>
      <c r="B160" s="1" t="s">
        <v>271</v>
      </c>
      <c r="C160" s="1">
        <v>1</v>
      </c>
      <c r="D160" s="1">
        <v>0</v>
      </c>
      <c r="E160" s="1">
        <v>3</v>
      </c>
      <c r="F160" s="1">
        <v>4</v>
      </c>
      <c r="G160" s="1">
        <v>0</v>
      </c>
      <c r="H160" s="1">
        <v>10</v>
      </c>
      <c r="I160" s="1">
        <v>4</v>
      </c>
      <c r="J160" s="1">
        <v>2</v>
      </c>
      <c r="K160" s="1">
        <v>22</v>
      </c>
      <c r="L160" s="1">
        <v>11</v>
      </c>
      <c r="M160" s="1">
        <v>11</v>
      </c>
      <c r="N160" s="1">
        <v>18</v>
      </c>
      <c r="O160" s="1">
        <v>26</v>
      </c>
      <c r="P160" s="1">
        <v>13</v>
      </c>
      <c r="Q160" s="1">
        <v>23</v>
      </c>
      <c r="R160" s="1">
        <v>16</v>
      </c>
      <c r="S160" s="1">
        <v>15</v>
      </c>
      <c r="T160" s="1">
        <v>11</v>
      </c>
      <c r="U160" s="1">
        <v>6</v>
      </c>
      <c r="V160" s="1">
        <v>9</v>
      </c>
      <c r="W160" s="1">
        <v>8</v>
      </c>
      <c r="X160" s="1">
        <v>6</v>
      </c>
      <c r="Y160" s="1">
        <v>4</v>
      </c>
      <c r="Z160" s="1">
        <v>5</v>
      </c>
      <c r="AA160" s="1">
        <v>10</v>
      </c>
      <c r="AB160" s="1">
        <v>3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</row>
    <row r="161" spans="1:33" ht="15" x14ac:dyDescent="0.3">
      <c r="A161" s="1" t="s">
        <v>114</v>
      </c>
      <c r="B161" s="1" t="s">
        <v>115</v>
      </c>
      <c r="C161" s="1">
        <v>0</v>
      </c>
      <c r="D161" s="1">
        <v>0</v>
      </c>
      <c r="E161" s="1">
        <v>0</v>
      </c>
      <c r="F161" s="1">
        <v>1</v>
      </c>
      <c r="G161" s="1">
        <v>1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  <row r="162" spans="1:33" ht="15" x14ac:dyDescent="0.3">
      <c r="A162" s="1" t="s">
        <v>114</v>
      </c>
      <c r="B162" s="1" t="s">
        <v>116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3</v>
      </c>
      <c r="Q162" s="1">
        <v>3</v>
      </c>
      <c r="R162" s="1">
        <v>1</v>
      </c>
      <c r="S162" s="1">
        <v>1</v>
      </c>
      <c r="T162" s="1">
        <v>2</v>
      </c>
      <c r="U162" s="1">
        <v>0</v>
      </c>
      <c r="V162" s="1">
        <v>2</v>
      </c>
      <c r="W162" s="1">
        <v>0</v>
      </c>
      <c r="X162" s="1">
        <v>0</v>
      </c>
      <c r="Y162" s="1">
        <v>0</v>
      </c>
      <c r="Z162" s="1">
        <v>1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</row>
    <row r="163" spans="1:33" ht="15" x14ac:dyDescent="0.3">
      <c r="A163" s="1" t="s">
        <v>114</v>
      </c>
      <c r="B163" s="1" t="s">
        <v>117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2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0</v>
      </c>
      <c r="S163" s="1">
        <v>1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ht="15" x14ac:dyDescent="0.3">
      <c r="A164" s="1" t="s">
        <v>114</v>
      </c>
      <c r="B164" s="1" t="s">
        <v>118</v>
      </c>
      <c r="C164" s="1">
        <v>0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</row>
    <row r="165" spans="1:33" ht="15" x14ac:dyDescent="0.3">
      <c r="A165" s="1" t="s">
        <v>114</v>
      </c>
      <c r="B165" s="1" t="s">
        <v>119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</row>
    <row r="166" spans="1:33" ht="15" x14ac:dyDescent="0.3">
      <c r="A166" s="1" t="s">
        <v>114</v>
      </c>
      <c r="B166" s="1" t="s">
        <v>120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</v>
      </c>
      <c r="P166" s="1">
        <v>0</v>
      </c>
      <c r="Q166" s="1">
        <v>3</v>
      </c>
      <c r="R166" s="1">
        <v>0</v>
      </c>
      <c r="S166" s="1">
        <v>2</v>
      </c>
      <c r="T166" s="1">
        <v>0</v>
      </c>
      <c r="U166" s="1">
        <v>1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ht="15" x14ac:dyDescent="0.3">
      <c r="A167" s="1" t="s">
        <v>114</v>
      </c>
      <c r="B167" s="1" t="s">
        <v>121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>
        <v>0</v>
      </c>
      <c r="V167" s="1">
        <v>2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1</v>
      </c>
    </row>
    <row r="168" spans="1:33" ht="15" x14ac:dyDescent="0.3">
      <c r="A168" s="1" t="s">
        <v>114</v>
      </c>
      <c r="B168" s="1" t="s">
        <v>122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  <c r="L168" s="1">
        <v>3</v>
      </c>
      <c r="M168" s="1">
        <v>0</v>
      </c>
      <c r="N168" s="1">
        <v>3</v>
      </c>
      <c r="O168" s="1">
        <v>4</v>
      </c>
      <c r="P168" s="1">
        <v>4</v>
      </c>
      <c r="Q168" s="1">
        <v>3</v>
      </c>
      <c r="R168" s="1">
        <v>11</v>
      </c>
      <c r="S168" s="1">
        <v>1</v>
      </c>
      <c r="T168" s="1">
        <v>2</v>
      </c>
      <c r="U168" s="1">
        <v>2</v>
      </c>
      <c r="V168" s="1">
        <v>5</v>
      </c>
      <c r="W168" s="1">
        <v>2</v>
      </c>
      <c r="X168" s="1">
        <v>1</v>
      </c>
      <c r="Y168" s="1">
        <v>2</v>
      </c>
      <c r="Z168" s="1">
        <v>0</v>
      </c>
      <c r="AA168" s="1">
        <v>1</v>
      </c>
      <c r="AB168" s="1">
        <v>1</v>
      </c>
      <c r="AC168" s="1">
        <v>1</v>
      </c>
      <c r="AD168" s="1">
        <v>0</v>
      </c>
      <c r="AE168" s="1">
        <v>0</v>
      </c>
      <c r="AF168" s="1">
        <v>0</v>
      </c>
      <c r="AG168" s="1">
        <v>0</v>
      </c>
    </row>
    <row r="169" spans="1:33" ht="15" x14ac:dyDescent="0.3">
      <c r="A169" s="1" t="s">
        <v>39</v>
      </c>
      <c r="B169" s="1" t="s">
        <v>40</v>
      </c>
      <c r="C169" s="1">
        <v>0</v>
      </c>
      <c r="D169" s="1">
        <v>0</v>
      </c>
      <c r="E169" s="1">
        <v>0</v>
      </c>
      <c r="F169" s="1">
        <v>0</v>
      </c>
      <c r="G169" s="1">
        <v>5</v>
      </c>
      <c r="H169" s="1">
        <v>0</v>
      </c>
      <c r="I169" s="1">
        <v>1</v>
      </c>
      <c r="J169" s="1">
        <v>2</v>
      </c>
      <c r="K169" s="1">
        <v>0</v>
      </c>
      <c r="L169" s="1">
        <v>2</v>
      </c>
      <c r="M169" s="1">
        <v>3</v>
      </c>
      <c r="N169" s="1">
        <v>1</v>
      </c>
      <c r="O169" s="1">
        <v>1</v>
      </c>
      <c r="P169" s="1">
        <v>0</v>
      </c>
      <c r="Q169" s="1">
        <v>4</v>
      </c>
      <c r="R169" s="1">
        <v>5</v>
      </c>
      <c r="S169" s="1">
        <v>3</v>
      </c>
      <c r="T169" s="1">
        <v>2</v>
      </c>
      <c r="U169" s="1">
        <v>2</v>
      </c>
      <c r="V169" s="1">
        <v>0</v>
      </c>
      <c r="W169" s="1">
        <v>0</v>
      </c>
      <c r="X169" s="1">
        <v>0</v>
      </c>
      <c r="Y169" s="1">
        <v>5</v>
      </c>
      <c r="Z169" s="1">
        <v>2</v>
      </c>
      <c r="AA169" s="1">
        <v>5</v>
      </c>
      <c r="AB169" s="1">
        <v>0</v>
      </c>
      <c r="AC169" s="1">
        <v>3</v>
      </c>
      <c r="AD169" s="1">
        <v>3</v>
      </c>
      <c r="AE169" s="1">
        <v>1</v>
      </c>
      <c r="AF169" s="1">
        <v>1</v>
      </c>
      <c r="AG169" s="1">
        <v>0</v>
      </c>
    </row>
    <row r="170" spans="1:33" ht="15" x14ac:dyDescent="0.3">
      <c r="A170" s="1" t="s">
        <v>39</v>
      </c>
      <c r="B170" s="1" t="s">
        <v>41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">
        <v>1</v>
      </c>
      <c r="J170" s="1">
        <v>0</v>
      </c>
      <c r="K170" s="1">
        <v>1</v>
      </c>
      <c r="L170" s="1">
        <v>4</v>
      </c>
      <c r="M170" s="1">
        <v>3</v>
      </c>
      <c r="N170" s="1">
        <v>2</v>
      </c>
      <c r="O170" s="1">
        <v>1</v>
      </c>
      <c r="P170" s="1">
        <v>5</v>
      </c>
      <c r="Q170" s="1">
        <v>4</v>
      </c>
      <c r="R170" s="1">
        <v>4</v>
      </c>
      <c r="S170" s="1">
        <v>8</v>
      </c>
      <c r="T170" s="1">
        <v>3</v>
      </c>
      <c r="U170" s="1">
        <v>3</v>
      </c>
      <c r="V170" s="1">
        <v>4</v>
      </c>
      <c r="W170" s="1">
        <v>2</v>
      </c>
      <c r="X170" s="1">
        <v>0</v>
      </c>
      <c r="Y170" s="1">
        <v>1</v>
      </c>
      <c r="Z170" s="1">
        <v>4</v>
      </c>
      <c r="AA170" s="1">
        <v>5</v>
      </c>
      <c r="AB170" s="1">
        <v>4</v>
      </c>
      <c r="AC170" s="1">
        <v>3</v>
      </c>
      <c r="AD170" s="1">
        <v>2</v>
      </c>
      <c r="AE170" s="1">
        <v>1</v>
      </c>
      <c r="AF170" s="1">
        <v>0</v>
      </c>
      <c r="AG170" s="1">
        <v>0</v>
      </c>
    </row>
    <row r="171" spans="1:33" ht="15" x14ac:dyDescent="0.3">
      <c r="A171" s="1" t="s">
        <v>39</v>
      </c>
      <c r="B171" s="1" t="s">
        <v>42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2</v>
      </c>
      <c r="I171" s="1">
        <v>0</v>
      </c>
      <c r="J171" s="1">
        <v>0</v>
      </c>
      <c r="K171" s="1">
        <v>0</v>
      </c>
      <c r="L171" s="1">
        <v>3</v>
      </c>
      <c r="M171" s="1">
        <v>3</v>
      </c>
      <c r="N171" s="1">
        <v>4</v>
      </c>
      <c r="O171" s="1">
        <v>0</v>
      </c>
      <c r="P171" s="1">
        <v>1</v>
      </c>
      <c r="Q171" s="1">
        <v>3</v>
      </c>
      <c r="R171" s="1">
        <v>3</v>
      </c>
      <c r="S171" s="1">
        <v>2</v>
      </c>
      <c r="T171" s="1">
        <v>2</v>
      </c>
      <c r="U171" s="1">
        <v>3</v>
      </c>
      <c r="V171" s="1">
        <v>5</v>
      </c>
      <c r="W171" s="1">
        <v>3</v>
      </c>
      <c r="X171" s="1">
        <v>2</v>
      </c>
      <c r="Y171" s="1">
        <v>2</v>
      </c>
      <c r="Z171" s="1">
        <v>3</v>
      </c>
      <c r="AA171" s="1">
        <v>3</v>
      </c>
      <c r="AB171" s="1">
        <v>1</v>
      </c>
      <c r="AC171" s="1">
        <v>2</v>
      </c>
      <c r="AD171" s="1">
        <v>0</v>
      </c>
      <c r="AE171" s="1">
        <v>0</v>
      </c>
      <c r="AF171" s="1">
        <v>0</v>
      </c>
      <c r="AG171" s="1">
        <v>0</v>
      </c>
    </row>
    <row r="172" spans="1:33" ht="15" x14ac:dyDescent="0.3">
      <c r="A172" s="1" t="s">
        <v>39</v>
      </c>
      <c r="B172" s="1" t="s">
        <v>43</v>
      </c>
      <c r="C172" s="1">
        <v>0</v>
      </c>
      <c r="D172" s="1">
        <v>0</v>
      </c>
      <c r="E172" s="1">
        <v>3</v>
      </c>
      <c r="F172" s="1">
        <v>0</v>
      </c>
      <c r="G172" s="1">
        <v>1</v>
      </c>
      <c r="H172" s="1">
        <v>3</v>
      </c>
      <c r="I172" s="1">
        <v>0</v>
      </c>
      <c r="J172" s="1">
        <v>3</v>
      </c>
      <c r="K172" s="1">
        <v>4</v>
      </c>
      <c r="L172" s="1">
        <v>5</v>
      </c>
      <c r="M172" s="1">
        <v>6</v>
      </c>
      <c r="N172" s="1">
        <v>3</v>
      </c>
      <c r="O172" s="1">
        <v>7</v>
      </c>
      <c r="P172" s="1">
        <v>5</v>
      </c>
      <c r="Q172" s="1">
        <v>4</v>
      </c>
      <c r="R172" s="1">
        <v>3</v>
      </c>
      <c r="S172" s="1">
        <v>5</v>
      </c>
      <c r="T172" s="1">
        <v>5</v>
      </c>
      <c r="U172" s="1">
        <v>8</v>
      </c>
      <c r="V172" s="1">
        <v>6</v>
      </c>
      <c r="W172" s="1">
        <v>7</v>
      </c>
      <c r="X172" s="1">
        <v>6</v>
      </c>
      <c r="Y172" s="1">
        <v>3</v>
      </c>
      <c r="Z172" s="1">
        <v>3</v>
      </c>
      <c r="AA172" s="1">
        <v>1</v>
      </c>
      <c r="AB172" s="1">
        <v>0</v>
      </c>
      <c r="AC172" s="1">
        <v>1</v>
      </c>
      <c r="AD172" s="1">
        <v>0</v>
      </c>
      <c r="AE172" s="1">
        <v>0</v>
      </c>
      <c r="AF172" s="1">
        <v>1</v>
      </c>
      <c r="AG172" s="1">
        <v>0</v>
      </c>
    </row>
    <row r="173" spans="1:33" ht="15" x14ac:dyDescent="0.3">
      <c r="A173" s="1" t="s">
        <v>39</v>
      </c>
      <c r="B173" s="1" t="s">
        <v>44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1</v>
      </c>
      <c r="I173" s="1">
        <v>2</v>
      </c>
      <c r="J173" s="1">
        <v>2</v>
      </c>
      <c r="K173" s="1">
        <v>0</v>
      </c>
      <c r="L173" s="1">
        <v>3</v>
      </c>
      <c r="M173" s="1">
        <v>1</v>
      </c>
      <c r="N173" s="1">
        <v>2</v>
      </c>
      <c r="O173" s="1">
        <v>5</v>
      </c>
      <c r="P173" s="1">
        <v>2</v>
      </c>
      <c r="Q173" s="1">
        <v>3</v>
      </c>
      <c r="R173" s="1">
        <v>3</v>
      </c>
      <c r="S173" s="1">
        <v>2</v>
      </c>
      <c r="T173" s="1">
        <v>2</v>
      </c>
      <c r="U173" s="1">
        <v>2</v>
      </c>
      <c r="V173" s="1">
        <v>1</v>
      </c>
      <c r="W173" s="1">
        <v>1</v>
      </c>
      <c r="X173" s="1">
        <v>2</v>
      </c>
      <c r="Y173" s="1">
        <v>2</v>
      </c>
      <c r="Z173" s="1">
        <v>1</v>
      </c>
      <c r="AA173" s="1">
        <v>1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</row>
    <row r="174" spans="1:33" ht="15" x14ac:dyDescent="0.3">
      <c r="A174" s="1" t="s">
        <v>39</v>
      </c>
      <c r="B174" s="1" t="s">
        <v>45</v>
      </c>
      <c r="C174" s="1">
        <v>0</v>
      </c>
      <c r="D174" s="1">
        <v>0</v>
      </c>
      <c r="E174" s="1">
        <v>2</v>
      </c>
      <c r="F174" s="1">
        <v>0</v>
      </c>
      <c r="G174" s="1">
        <v>1</v>
      </c>
      <c r="H174" s="1">
        <v>4</v>
      </c>
      <c r="I174" s="1">
        <v>1</v>
      </c>
      <c r="J174" s="1">
        <v>4</v>
      </c>
      <c r="K174" s="1">
        <v>8</v>
      </c>
      <c r="L174" s="1">
        <v>4</v>
      </c>
      <c r="M174" s="1">
        <v>8</v>
      </c>
      <c r="N174" s="1">
        <v>2</v>
      </c>
      <c r="O174" s="1">
        <v>4</v>
      </c>
      <c r="P174" s="1">
        <v>6</v>
      </c>
      <c r="Q174" s="1">
        <v>8</v>
      </c>
      <c r="R174" s="1">
        <v>3</v>
      </c>
      <c r="S174" s="1">
        <v>5</v>
      </c>
      <c r="T174" s="1">
        <v>9</v>
      </c>
      <c r="U174" s="1">
        <v>3</v>
      </c>
      <c r="V174" s="1">
        <v>3</v>
      </c>
      <c r="W174" s="1">
        <v>2</v>
      </c>
      <c r="X174" s="1">
        <v>3</v>
      </c>
      <c r="Y174" s="1">
        <v>4</v>
      </c>
      <c r="Z174" s="1">
        <v>1</v>
      </c>
      <c r="AA174" s="1">
        <v>0</v>
      </c>
      <c r="AB174" s="1">
        <v>1</v>
      </c>
      <c r="AC174" s="1">
        <v>0</v>
      </c>
      <c r="AD174" s="1">
        <v>0</v>
      </c>
      <c r="AE174" s="1">
        <v>1</v>
      </c>
      <c r="AF174" s="1">
        <v>0</v>
      </c>
      <c r="AG174" s="1">
        <v>0</v>
      </c>
    </row>
    <row r="175" spans="1:33" ht="15" x14ac:dyDescent="0.3">
      <c r="A175" s="1" t="s">
        <v>39</v>
      </c>
      <c r="B175" s="1" t="s">
        <v>46</v>
      </c>
      <c r="C175" s="1">
        <v>0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2</v>
      </c>
      <c r="K175" s="1">
        <v>1</v>
      </c>
      <c r="L175" s="1">
        <v>0</v>
      </c>
      <c r="M175" s="1">
        <v>3</v>
      </c>
      <c r="N175" s="1">
        <v>1</v>
      </c>
      <c r="O175" s="1">
        <v>0</v>
      </c>
      <c r="P175" s="1">
        <v>1</v>
      </c>
      <c r="Q175" s="1">
        <v>1</v>
      </c>
      <c r="R175" s="1">
        <v>1</v>
      </c>
      <c r="S175" s="1">
        <v>0</v>
      </c>
      <c r="T175" s="1">
        <v>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1</v>
      </c>
      <c r="AD175" s="1">
        <v>0</v>
      </c>
      <c r="AE175" s="1">
        <v>0</v>
      </c>
      <c r="AF175" s="1">
        <v>0</v>
      </c>
      <c r="AG175" s="1">
        <v>0</v>
      </c>
    </row>
    <row r="176" spans="1:33" ht="15" x14ac:dyDescent="0.3">
      <c r="A176" s="1" t="s">
        <v>39</v>
      </c>
      <c r="B176" s="1" t="s">
        <v>47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1</v>
      </c>
      <c r="J176" s="1">
        <v>2</v>
      </c>
      <c r="K176" s="1">
        <v>4</v>
      </c>
      <c r="L176" s="1">
        <v>1</v>
      </c>
      <c r="M176" s="1">
        <v>3</v>
      </c>
      <c r="N176" s="1">
        <v>5</v>
      </c>
      <c r="O176" s="1">
        <v>0</v>
      </c>
      <c r="P176" s="1">
        <v>4</v>
      </c>
      <c r="Q176" s="1">
        <v>2</v>
      </c>
      <c r="R176" s="1">
        <v>3</v>
      </c>
      <c r="S176" s="1">
        <v>2</v>
      </c>
      <c r="T176" s="1">
        <v>1</v>
      </c>
      <c r="U176" s="1">
        <v>1</v>
      </c>
      <c r="V176" s="1">
        <v>0</v>
      </c>
      <c r="W176" s="1">
        <v>1</v>
      </c>
      <c r="X176" s="1">
        <v>3</v>
      </c>
      <c r="Y176" s="1">
        <v>2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ht="15" x14ac:dyDescent="0.3">
      <c r="A177" s="1" t="s">
        <v>39</v>
      </c>
      <c r="B177" s="1" t="s">
        <v>48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1</v>
      </c>
      <c r="I177" s="1">
        <v>2</v>
      </c>
      <c r="J177" s="1">
        <v>2</v>
      </c>
      <c r="K177" s="1">
        <v>3</v>
      </c>
      <c r="L177" s="1">
        <v>1</v>
      </c>
      <c r="M177" s="1">
        <v>2</v>
      </c>
      <c r="N177" s="1">
        <v>1</v>
      </c>
      <c r="O177" s="1">
        <v>6</v>
      </c>
      <c r="P177" s="1">
        <v>4</v>
      </c>
      <c r="Q177" s="1">
        <v>2</v>
      </c>
      <c r="R177" s="1">
        <v>1</v>
      </c>
      <c r="S177" s="1">
        <v>2</v>
      </c>
      <c r="T177" s="1">
        <v>3</v>
      </c>
      <c r="U177" s="1">
        <v>3</v>
      </c>
      <c r="V177" s="1">
        <v>4</v>
      </c>
      <c r="W177" s="1">
        <v>3</v>
      </c>
      <c r="X177" s="1">
        <v>4</v>
      </c>
      <c r="Y177" s="1">
        <v>3</v>
      </c>
      <c r="Z177" s="1">
        <v>1</v>
      </c>
      <c r="AA177" s="1">
        <v>2</v>
      </c>
      <c r="AB177" s="1">
        <v>1</v>
      </c>
      <c r="AC177" s="1">
        <v>1</v>
      </c>
      <c r="AD177" s="1">
        <v>2</v>
      </c>
      <c r="AE177" s="1">
        <v>0</v>
      </c>
      <c r="AF177" s="1">
        <v>0</v>
      </c>
      <c r="AG177" s="1">
        <v>0</v>
      </c>
    </row>
    <row r="178" spans="1:33" ht="15" x14ac:dyDescent="0.3">
      <c r="A178" s="1" t="s">
        <v>39</v>
      </c>
      <c r="B178" s="1" t="s">
        <v>49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3</v>
      </c>
      <c r="J178" s="1">
        <v>5</v>
      </c>
      <c r="K178" s="1">
        <v>0</v>
      </c>
      <c r="L178" s="1">
        <v>7</v>
      </c>
      <c r="M178" s="1">
        <v>5</v>
      </c>
      <c r="N178" s="1">
        <v>3</v>
      </c>
      <c r="O178" s="1">
        <v>7</v>
      </c>
      <c r="P178" s="1">
        <v>6</v>
      </c>
      <c r="Q178" s="1">
        <v>3</v>
      </c>
      <c r="R178" s="1">
        <v>6</v>
      </c>
      <c r="S178" s="1">
        <v>0</v>
      </c>
      <c r="T178" s="1">
        <v>4</v>
      </c>
      <c r="U178" s="1">
        <v>3</v>
      </c>
      <c r="V178" s="1">
        <v>4</v>
      </c>
      <c r="W178" s="1">
        <v>4</v>
      </c>
      <c r="X178" s="1">
        <v>3</v>
      </c>
      <c r="Y178" s="1">
        <v>3</v>
      </c>
      <c r="Z178" s="1">
        <v>5</v>
      </c>
      <c r="AA178" s="1">
        <v>5</v>
      </c>
      <c r="AB178" s="1">
        <v>1</v>
      </c>
      <c r="AC178" s="1">
        <v>1</v>
      </c>
      <c r="AD178" s="1">
        <v>1</v>
      </c>
      <c r="AE178" s="1">
        <v>0</v>
      </c>
      <c r="AF178" s="1">
        <v>0</v>
      </c>
      <c r="AG178" s="1">
        <v>0</v>
      </c>
    </row>
    <row r="179" spans="1:33" ht="15" x14ac:dyDescent="0.3">
      <c r="A179" s="1" t="s">
        <v>39</v>
      </c>
      <c r="B179" s="1" t="s">
        <v>50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5</v>
      </c>
      <c r="L179" s="1">
        <v>0</v>
      </c>
      <c r="M179" s="1">
        <v>2</v>
      </c>
      <c r="N179" s="1">
        <v>5</v>
      </c>
      <c r="O179" s="1">
        <v>2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s="1">
        <v>1</v>
      </c>
      <c r="V179" s="1">
        <v>0</v>
      </c>
      <c r="W179" s="1">
        <v>1</v>
      </c>
      <c r="X179" s="1">
        <v>0</v>
      </c>
      <c r="Y179" s="1">
        <v>3</v>
      </c>
      <c r="Z179" s="1">
        <v>4</v>
      </c>
      <c r="AA179" s="1">
        <v>1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ht="15" x14ac:dyDescent="0.3">
      <c r="A180" s="1" t="s">
        <v>39</v>
      </c>
      <c r="B180" s="1" t="s">
        <v>51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  <c r="H180" s="1">
        <v>0</v>
      </c>
      <c r="I180" s="1">
        <v>3</v>
      </c>
      <c r="J180" s="1">
        <v>1</v>
      </c>
      <c r="K180" s="1">
        <v>3</v>
      </c>
      <c r="L180" s="1">
        <v>0</v>
      </c>
      <c r="M180" s="1">
        <v>0</v>
      </c>
      <c r="N180" s="1">
        <v>5</v>
      </c>
      <c r="O180" s="1">
        <v>0</v>
      </c>
      <c r="P180" s="1">
        <v>1</v>
      </c>
      <c r="Q180" s="1">
        <v>1</v>
      </c>
      <c r="R180" s="1">
        <v>0</v>
      </c>
      <c r="S180" s="1">
        <v>0</v>
      </c>
      <c r="T180" s="1">
        <v>2</v>
      </c>
      <c r="U180" s="1">
        <v>0</v>
      </c>
      <c r="V180" s="1">
        <v>1</v>
      </c>
      <c r="W180" s="1">
        <v>0</v>
      </c>
      <c r="X180" s="1">
        <v>0</v>
      </c>
      <c r="Y180" s="1">
        <v>0</v>
      </c>
      <c r="Z180" s="1">
        <v>2</v>
      </c>
      <c r="AA180" s="1">
        <v>0</v>
      </c>
      <c r="AB180" s="1">
        <v>1</v>
      </c>
      <c r="AC180" s="1">
        <v>1</v>
      </c>
      <c r="AD180" s="1">
        <v>1</v>
      </c>
      <c r="AE180" s="1">
        <v>0</v>
      </c>
      <c r="AF180" s="1">
        <v>0</v>
      </c>
      <c r="AG180" s="1">
        <v>0</v>
      </c>
    </row>
    <row r="181" spans="1:33" ht="15" x14ac:dyDescent="0.3">
      <c r="A181" s="1" t="s">
        <v>39</v>
      </c>
      <c r="B181" s="1" t="s">
        <v>52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2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</v>
      </c>
      <c r="P181" s="1">
        <v>0</v>
      </c>
      <c r="Q181" s="1">
        <v>2</v>
      </c>
      <c r="R181" s="1">
        <v>1</v>
      </c>
      <c r="S181" s="1">
        <v>2</v>
      </c>
      <c r="T181" s="1">
        <v>1</v>
      </c>
      <c r="U181" s="1">
        <v>2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ht="15" x14ac:dyDescent="0.3">
      <c r="A182" s="1" t="s">
        <v>348</v>
      </c>
      <c r="B182" s="1" t="s">
        <v>230</v>
      </c>
      <c r="C182" s="1">
        <v>0</v>
      </c>
      <c r="D182" s="1">
        <v>0</v>
      </c>
      <c r="E182" s="1">
        <v>0</v>
      </c>
      <c r="F182" s="1">
        <v>0</v>
      </c>
      <c r="G182" s="1">
        <v>2</v>
      </c>
      <c r="H182" s="1">
        <v>4</v>
      </c>
      <c r="I182" s="1">
        <v>0</v>
      </c>
      <c r="J182" s="1">
        <v>1</v>
      </c>
      <c r="K182" s="1">
        <v>2</v>
      </c>
      <c r="L182" s="1">
        <v>2</v>
      </c>
      <c r="M182" s="1">
        <v>1</v>
      </c>
      <c r="N182" s="1">
        <v>4</v>
      </c>
      <c r="O182" s="1">
        <v>3</v>
      </c>
      <c r="P182" s="1">
        <v>13</v>
      </c>
      <c r="Q182" s="1">
        <v>18</v>
      </c>
      <c r="R182" s="1">
        <v>19</v>
      </c>
      <c r="S182" s="1">
        <v>9</v>
      </c>
      <c r="T182" s="1">
        <v>8</v>
      </c>
      <c r="U182" s="1">
        <v>6</v>
      </c>
      <c r="V182" s="1">
        <v>6</v>
      </c>
      <c r="W182" s="1">
        <v>5</v>
      </c>
      <c r="X182" s="1">
        <v>8</v>
      </c>
      <c r="Y182" s="1">
        <v>5</v>
      </c>
      <c r="Z182" s="1">
        <v>3</v>
      </c>
      <c r="AA182" s="1">
        <v>3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ht="15" x14ac:dyDescent="0.3">
      <c r="A183" s="1" t="s">
        <v>348</v>
      </c>
      <c r="B183" s="1" t="s">
        <v>231</v>
      </c>
      <c r="C183" s="1">
        <v>0</v>
      </c>
      <c r="D183" s="1">
        <v>0</v>
      </c>
      <c r="E183" s="1">
        <v>1</v>
      </c>
      <c r="F183" s="1">
        <v>0</v>
      </c>
      <c r="G183" s="1">
        <v>1</v>
      </c>
      <c r="H183" s="1">
        <v>0</v>
      </c>
      <c r="I183" s="1">
        <v>2</v>
      </c>
      <c r="J183" s="1">
        <v>5</v>
      </c>
      <c r="K183" s="1">
        <v>7</v>
      </c>
      <c r="L183" s="1">
        <v>15</v>
      </c>
      <c r="M183" s="1">
        <v>11</v>
      </c>
      <c r="N183" s="1">
        <v>1</v>
      </c>
      <c r="O183" s="1">
        <v>12</v>
      </c>
      <c r="P183" s="1">
        <v>9</v>
      </c>
      <c r="Q183" s="1">
        <v>14</v>
      </c>
      <c r="R183" s="1">
        <v>8</v>
      </c>
      <c r="S183" s="1">
        <v>6</v>
      </c>
      <c r="T183" s="1">
        <v>3</v>
      </c>
      <c r="U183" s="1">
        <v>2</v>
      </c>
      <c r="V183" s="1">
        <v>3</v>
      </c>
      <c r="W183" s="1">
        <v>1</v>
      </c>
      <c r="X183" s="1">
        <v>0</v>
      </c>
      <c r="Y183" s="1">
        <v>4</v>
      </c>
      <c r="Z183" s="1">
        <v>4</v>
      </c>
      <c r="AA183" s="1">
        <v>5</v>
      </c>
      <c r="AB183" s="1">
        <v>1</v>
      </c>
      <c r="AC183" s="1">
        <v>2</v>
      </c>
      <c r="AD183" s="1">
        <v>0</v>
      </c>
      <c r="AE183" s="1">
        <v>1</v>
      </c>
      <c r="AF183" s="1">
        <v>0</v>
      </c>
      <c r="AG183" s="1">
        <v>0</v>
      </c>
    </row>
    <row r="184" spans="1:33" ht="15" x14ac:dyDescent="0.3">
      <c r="A184" s="1" t="s">
        <v>348</v>
      </c>
      <c r="B184" s="1" t="s">
        <v>232</v>
      </c>
      <c r="C184" s="1">
        <v>0</v>
      </c>
      <c r="D184" s="1">
        <v>0</v>
      </c>
      <c r="E184" s="1">
        <v>2</v>
      </c>
      <c r="F184" s="1">
        <v>0</v>
      </c>
      <c r="G184" s="1">
        <v>1</v>
      </c>
      <c r="H184" s="1">
        <v>1</v>
      </c>
      <c r="I184" s="1">
        <v>4</v>
      </c>
      <c r="J184" s="1">
        <v>9</v>
      </c>
      <c r="K184" s="1">
        <v>8</v>
      </c>
      <c r="L184" s="1">
        <v>21</v>
      </c>
      <c r="M184" s="1">
        <v>21</v>
      </c>
      <c r="N184" s="1">
        <v>16</v>
      </c>
      <c r="O184" s="1">
        <v>6</v>
      </c>
      <c r="P184" s="1">
        <v>14</v>
      </c>
      <c r="Q184" s="1">
        <v>18</v>
      </c>
      <c r="R184" s="1">
        <v>13</v>
      </c>
      <c r="S184" s="1">
        <v>15</v>
      </c>
      <c r="T184" s="1">
        <v>13</v>
      </c>
      <c r="U184" s="1">
        <v>6</v>
      </c>
      <c r="V184" s="1">
        <v>11</v>
      </c>
      <c r="W184" s="1">
        <v>11</v>
      </c>
      <c r="X184" s="1">
        <v>6</v>
      </c>
      <c r="Y184" s="1">
        <v>9</v>
      </c>
      <c r="Z184" s="1">
        <v>5</v>
      </c>
      <c r="AA184" s="1">
        <v>7</v>
      </c>
      <c r="AB184" s="1">
        <v>5</v>
      </c>
      <c r="AC184" s="1">
        <v>5</v>
      </c>
      <c r="AD184" s="1">
        <v>1</v>
      </c>
      <c r="AE184" s="1">
        <v>1</v>
      </c>
      <c r="AF184" s="1">
        <v>1</v>
      </c>
      <c r="AG184" s="1">
        <v>-1</v>
      </c>
    </row>
    <row r="185" spans="1:33" ht="15" x14ac:dyDescent="0.3">
      <c r="A185" s="1" t="s">
        <v>348</v>
      </c>
      <c r="B185" s="1" t="s">
        <v>233</v>
      </c>
      <c r="C185" s="1">
        <v>0</v>
      </c>
      <c r="D185" s="1">
        <v>0</v>
      </c>
      <c r="E185" s="1">
        <v>1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1</v>
      </c>
      <c r="L185" s="1">
        <v>1</v>
      </c>
      <c r="M185" s="1">
        <v>3</v>
      </c>
      <c r="N185" s="1">
        <v>3</v>
      </c>
      <c r="O185" s="1">
        <v>1</v>
      </c>
      <c r="P185" s="1">
        <v>1</v>
      </c>
      <c r="Q185" s="1">
        <v>2</v>
      </c>
      <c r="R185" s="1">
        <v>0</v>
      </c>
      <c r="S185" s="1">
        <v>0</v>
      </c>
      <c r="T185" s="1">
        <v>1</v>
      </c>
      <c r="U185" s="1">
        <v>1</v>
      </c>
      <c r="V185" s="1">
        <v>0</v>
      </c>
      <c r="W185" s="1">
        <v>1</v>
      </c>
      <c r="X185" s="1">
        <v>1</v>
      </c>
      <c r="Y185" s="1">
        <v>2</v>
      </c>
      <c r="Z185" s="1">
        <v>0</v>
      </c>
      <c r="AA185" s="1">
        <v>0</v>
      </c>
      <c r="AB185" s="1">
        <v>0</v>
      </c>
      <c r="AC185" s="1">
        <v>1</v>
      </c>
      <c r="AD185" s="1">
        <v>0</v>
      </c>
      <c r="AE185" s="1">
        <v>1</v>
      </c>
      <c r="AF185" s="1">
        <v>0</v>
      </c>
      <c r="AG185" s="1">
        <v>0</v>
      </c>
    </row>
    <row r="186" spans="1:33" ht="15" x14ac:dyDescent="0.3">
      <c r="A186" s="1" t="s">
        <v>348</v>
      </c>
      <c r="B186" s="1" t="s">
        <v>234</v>
      </c>
      <c r="C186" s="1">
        <v>0</v>
      </c>
      <c r="D186" s="1">
        <v>0</v>
      </c>
      <c r="E186" s="1">
        <v>0</v>
      </c>
      <c r="F186" s="1">
        <v>0</v>
      </c>
      <c r="G186" s="1">
        <v>1</v>
      </c>
      <c r="H186" s="1">
        <v>4</v>
      </c>
      <c r="I186" s="1">
        <v>1</v>
      </c>
      <c r="J186" s="1">
        <v>4</v>
      </c>
      <c r="K186" s="1">
        <v>4</v>
      </c>
      <c r="L186" s="1">
        <v>0</v>
      </c>
      <c r="M186" s="1">
        <v>12</v>
      </c>
      <c r="N186" s="1">
        <v>3</v>
      </c>
      <c r="O186" s="1">
        <v>2</v>
      </c>
      <c r="P186" s="1">
        <v>5</v>
      </c>
      <c r="Q186" s="1">
        <v>9</v>
      </c>
      <c r="R186" s="1">
        <v>3</v>
      </c>
      <c r="S186" s="1">
        <v>6</v>
      </c>
      <c r="T186" s="1">
        <v>8</v>
      </c>
      <c r="U186" s="1">
        <v>5</v>
      </c>
      <c r="V186" s="1">
        <v>7</v>
      </c>
      <c r="W186" s="1">
        <v>3</v>
      </c>
      <c r="X186" s="1">
        <v>6</v>
      </c>
      <c r="Y186" s="1">
        <v>5</v>
      </c>
      <c r="Z186" s="1">
        <v>7</v>
      </c>
      <c r="AA186" s="1">
        <v>6</v>
      </c>
      <c r="AB186" s="1">
        <v>1</v>
      </c>
      <c r="AC186" s="1">
        <v>2</v>
      </c>
      <c r="AD186" s="1">
        <v>2</v>
      </c>
      <c r="AE186" s="1">
        <v>0</v>
      </c>
      <c r="AF186" s="1">
        <v>0</v>
      </c>
      <c r="AG186" s="1">
        <v>0</v>
      </c>
    </row>
    <row r="187" spans="1:33" ht="15" x14ac:dyDescent="0.3">
      <c r="A187" s="1" t="s">
        <v>348</v>
      </c>
      <c r="B187" s="1" t="s">
        <v>235</v>
      </c>
      <c r="C187" s="1">
        <v>0</v>
      </c>
      <c r="D187" s="1">
        <v>1</v>
      </c>
      <c r="E187" s="1">
        <v>0</v>
      </c>
      <c r="F187" s="1">
        <v>0</v>
      </c>
      <c r="G187" s="1">
        <v>3</v>
      </c>
      <c r="H187" s="1">
        <v>2</v>
      </c>
      <c r="I187" s="1">
        <v>1</v>
      </c>
      <c r="J187" s="1">
        <v>1</v>
      </c>
      <c r="K187" s="1">
        <v>1</v>
      </c>
      <c r="L187" s="1">
        <v>4</v>
      </c>
      <c r="M187" s="1">
        <v>2</v>
      </c>
      <c r="N187" s="1">
        <v>3</v>
      </c>
      <c r="O187" s="1">
        <v>6</v>
      </c>
      <c r="P187" s="1">
        <v>5</v>
      </c>
      <c r="Q187" s="1">
        <v>5</v>
      </c>
      <c r="R187" s="1">
        <v>10</v>
      </c>
      <c r="S187" s="1">
        <v>2</v>
      </c>
      <c r="T187" s="1">
        <v>10</v>
      </c>
      <c r="U187" s="1">
        <v>3</v>
      </c>
      <c r="V187" s="1">
        <v>4</v>
      </c>
      <c r="W187" s="1">
        <v>1</v>
      </c>
      <c r="X187" s="1">
        <v>3</v>
      </c>
      <c r="Y187" s="1">
        <v>1</v>
      </c>
      <c r="Z187" s="1">
        <v>1</v>
      </c>
      <c r="AA187" s="1">
        <v>2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ht="15" x14ac:dyDescent="0.3">
      <c r="A188" s="1" t="s">
        <v>348</v>
      </c>
      <c r="B188" s="1" t="s">
        <v>236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2</v>
      </c>
      <c r="J188" s="1">
        <v>0</v>
      </c>
      <c r="K188" s="1">
        <v>8</v>
      </c>
      <c r="L188" s="1">
        <v>0</v>
      </c>
      <c r="M188" s="1">
        <v>17</v>
      </c>
      <c r="N188" s="1">
        <v>12</v>
      </c>
      <c r="O188" s="1">
        <v>3</v>
      </c>
      <c r="P188" s="1">
        <v>7</v>
      </c>
      <c r="Q188" s="1">
        <v>9</v>
      </c>
      <c r="R188" s="1">
        <v>10</v>
      </c>
      <c r="S188" s="1">
        <v>9</v>
      </c>
      <c r="T188" s="1">
        <v>9</v>
      </c>
      <c r="U188" s="1">
        <v>8</v>
      </c>
      <c r="V188" s="1">
        <v>5</v>
      </c>
      <c r="W188" s="1">
        <v>5</v>
      </c>
      <c r="X188" s="1">
        <v>5</v>
      </c>
      <c r="Y188" s="1">
        <v>7</v>
      </c>
      <c r="Z188" s="1">
        <v>4</v>
      </c>
      <c r="AA188" s="1">
        <v>3</v>
      </c>
      <c r="AB188" s="1">
        <v>3</v>
      </c>
      <c r="AC188" s="1">
        <v>2</v>
      </c>
      <c r="AD188" s="1">
        <v>0</v>
      </c>
      <c r="AE188" s="1">
        <v>0</v>
      </c>
      <c r="AF188" s="1">
        <v>0</v>
      </c>
      <c r="AG188" s="1">
        <v>1</v>
      </c>
    </row>
    <row r="189" spans="1:33" ht="15" x14ac:dyDescent="0.3">
      <c r="A189" s="1" t="s">
        <v>348</v>
      </c>
      <c r="B189" s="1" t="s">
        <v>237</v>
      </c>
      <c r="C189" s="1">
        <v>0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0</v>
      </c>
      <c r="AG189" s="1">
        <v>0</v>
      </c>
    </row>
    <row r="190" spans="1:33" ht="15" x14ac:dyDescent="0.3">
      <c r="A190" s="1" t="s">
        <v>348</v>
      </c>
      <c r="B190" s="1" t="s">
        <v>238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3</v>
      </c>
      <c r="M190" s="1">
        <v>3</v>
      </c>
      <c r="N190" s="1">
        <v>1</v>
      </c>
      <c r="O190" s="1">
        <v>6</v>
      </c>
      <c r="P190" s="1">
        <v>3</v>
      </c>
      <c r="Q190" s="1">
        <v>2</v>
      </c>
      <c r="R190" s="1">
        <v>2</v>
      </c>
      <c r="S190" s="1">
        <v>1</v>
      </c>
      <c r="T190" s="1">
        <v>1</v>
      </c>
      <c r="U190" s="1">
        <v>0</v>
      </c>
      <c r="V190" s="1">
        <v>0</v>
      </c>
      <c r="W190" s="1">
        <v>1</v>
      </c>
      <c r="X190" s="1">
        <v>1</v>
      </c>
      <c r="Y190" s="1">
        <v>3</v>
      </c>
      <c r="Z190" s="1">
        <v>0</v>
      </c>
      <c r="AA190" s="1">
        <v>2</v>
      </c>
      <c r="AB190" s="1">
        <v>1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</row>
    <row r="191" spans="1:33" ht="15" x14ac:dyDescent="0.3">
      <c r="A191" s="1" t="s">
        <v>348</v>
      </c>
      <c r="B191" s="1" t="s">
        <v>239</v>
      </c>
      <c r="C191" s="1">
        <v>0</v>
      </c>
      <c r="D191" s="1">
        <v>0</v>
      </c>
      <c r="E191" s="1">
        <v>0</v>
      </c>
      <c r="F191" s="1">
        <v>0</v>
      </c>
      <c r="G191" s="1">
        <v>2</v>
      </c>
      <c r="H191" s="1">
        <v>5</v>
      </c>
      <c r="I191" s="1">
        <v>0</v>
      </c>
      <c r="J191" s="1">
        <v>3</v>
      </c>
      <c r="K191" s="1">
        <v>6</v>
      </c>
      <c r="L191" s="1">
        <v>5</v>
      </c>
      <c r="M191" s="1">
        <v>6</v>
      </c>
      <c r="N191" s="1">
        <v>3</v>
      </c>
      <c r="O191" s="1">
        <v>4</v>
      </c>
      <c r="P191" s="1">
        <v>2</v>
      </c>
      <c r="Q191" s="1">
        <v>7</v>
      </c>
      <c r="R191" s="1">
        <v>6</v>
      </c>
      <c r="S191" s="1">
        <v>4</v>
      </c>
      <c r="T191" s="1">
        <v>7</v>
      </c>
      <c r="U191" s="1">
        <v>5</v>
      </c>
      <c r="V191" s="1">
        <v>5</v>
      </c>
      <c r="W191" s="1">
        <v>2</v>
      </c>
      <c r="X191" s="1">
        <v>1</v>
      </c>
      <c r="Y191" s="1">
        <v>0</v>
      </c>
      <c r="Z191" s="1">
        <v>4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ht="15" x14ac:dyDescent="0.3">
      <c r="A192" s="1" t="s">
        <v>348</v>
      </c>
      <c r="B192" s="1" t="s">
        <v>240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2</v>
      </c>
      <c r="M192" s="1">
        <v>1</v>
      </c>
      <c r="N192" s="1">
        <v>0</v>
      </c>
      <c r="O192" s="1">
        <v>4</v>
      </c>
      <c r="P192" s="1">
        <v>0</v>
      </c>
      <c r="Q192" s="1">
        <v>0</v>
      </c>
      <c r="R192" s="1">
        <v>1</v>
      </c>
      <c r="S192" s="1">
        <v>0</v>
      </c>
      <c r="T192" s="1">
        <v>1</v>
      </c>
      <c r="U192" s="1">
        <v>1</v>
      </c>
      <c r="V192" s="1">
        <v>0</v>
      </c>
      <c r="W192" s="1">
        <v>1</v>
      </c>
      <c r="X192" s="1">
        <v>2</v>
      </c>
      <c r="Y192" s="1">
        <v>4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ht="15" x14ac:dyDescent="0.3">
      <c r="A193" s="1" t="s">
        <v>354</v>
      </c>
      <c r="B193" s="1" t="s">
        <v>152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3</v>
      </c>
      <c r="J193" s="1">
        <v>1</v>
      </c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">
        <v>1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</row>
    <row r="194" spans="1:33" ht="15" x14ac:dyDescent="0.3">
      <c r="A194" s="1" t="s">
        <v>354</v>
      </c>
      <c r="B194" s="1" t="s">
        <v>153</v>
      </c>
      <c r="C194" s="1">
        <v>0</v>
      </c>
      <c r="D194" s="1">
        <v>1</v>
      </c>
      <c r="E194" s="1">
        <v>0</v>
      </c>
      <c r="F194" s="1">
        <v>0</v>
      </c>
      <c r="G194" s="1">
        <v>3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2</v>
      </c>
      <c r="O194" s="1">
        <v>2</v>
      </c>
      <c r="P194" s="1">
        <v>0</v>
      </c>
      <c r="Q194" s="1">
        <v>1</v>
      </c>
      <c r="R194" s="1">
        <v>1</v>
      </c>
      <c r="S194" s="1">
        <v>0</v>
      </c>
      <c r="T194" s="1">
        <v>0</v>
      </c>
      <c r="U194" s="1">
        <v>2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1</v>
      </c>
      <c r="AB194" s="1">
        <v>0</v>
      </c>
      <c r="AC194" s="1">
        <v>0</v>
      </c>
      <c r="AD194" s="1">
        <v>1</v>
      </c>
      <c r="AE194" s="1">
        <v>0</v>
      </c>
      <c r="AF194" s="1">
        <v>0</v>
      </c>
      <c r="AG194" s="1">
        <v>0</v>
      </c>
    </row>
    <row r="195" spans="1:33" ht="15" x14ac:dyDescent="0.3">
      <c r="A195" s="1" t="s">
        <v>354</v>
      </c>
      <c r="B195" s="1" t="s">
        <v>154</v>
      </c>
      <c r="C195" s="1">
        <v>0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ht="15" x14ac:dyDescent="0.3">
      <c r="A196" s="1" t="s">
        <v>354</v>
      </c>
      <c r="B196" s="1" t="s">
        <v>155</v>
      </c>
      <c r="C196" s="1">
        <v>0</v>
      </c>
      <c r="D196" s="1">
        <v>0</v>
      </c>
      <c r="E196" s="1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  <c r="K196" s="1">
        <v>2</v>
      </c>
      <c r="L196" s="1">
        <v>0</v>
      </c>
      <c r="M196" s="1">
        <v>1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ht="15" x14ac:dyDescent="0.3">
      <c r="A197" s="1" t="s">
        <v>354</v>
      </c>
      <c r="B197" s="1" t="s">
        <v>156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ht="15" x14ac:dyDescent="0.3">
      <c r="A198" s="1" t="s">
        <v>354</v>
      </c>
      <c r="B198" s="1" t="s">
        <v>157</v>
      </c>
      <c r="C198" s="1">
        <v>0</v>
      </c>
      <c r="D198" s="1">
        <v>0</v>
      </c>
      <c r="E198" s="1">
        <v>1</v>
      </c>
      <c r="F198" s="1">
        <v>0</v>
      </c>
      <c r="G198" s="1">
        <v>3</v>
      </c>
      <c r="H198" s="1">
        <v>1</v>
      </c>
      <c r="I198" s="1">
        <v>1</v>
      </c>
      <c r="J198" s="1">
        <v>1</v>
      </c>
      <c r="K198" s="1">
        <v>1</v>
      </c>
      <c r="L198" s="1">
        <v>0</v>
      </c>
      <c r="M198" s="1">
        <v>3</v>
      </c>
      <c r="N198" s="1">
        <v>0</v>
      </c>
      <c r="O198" s="1">
        <v>1</v>
      </c>
      <c r="P198" s="1">
        <v>2</v>
      </c>
      <c r="Q198" s="1">
        <v>3</v>
      </c>
      <c r="R198" s="1">
        <v>5</v>
      </c>
      <c r="S198" s="1">
        <v>0</v>
      </c>
      <c r="T198" s="1">
        <v>2</v>
      </c>
      <c r="U198" s="1">
        <v>1</v>
      </c>
      <c r="V198" s="1">
        <v>0</v>
      </c>
      <c r="W198" s="1">
        <v>0</v>
      </c>
      <c r="X198" s="1">
        <v>1</v>
      </c>
      <c r="Y198" s="1">
        <v>1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ht="15" x14ac:dyDescent="0.3">
      <c r="A199" s="1" t="s">
        <v>354</v>
      </c>
      <c r="B199" s="1" t="s">
        <v>158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1</v>
      </c>
      <c r="I199" s="1">
        <v>1</v>
      </c>
      <c r="J199" s="1">
        <v>0</v>
      </c>
      <c r="K199" s="1">
        <v>0</v>
      </c>
      <c r="L199" s="1">
        <v>1</v>
      </c>
      <c r="M199" s="1">
        <v>4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3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ht="15" x14ac:dyDescent="0.3">
      <c r="A200" s="1" t="s">
        <v>354</v>
      </c>
      <c r="B200" s="1" t="s">
        <v>159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ht="15" x14ac:dyDescent="0.3">
      <c r="A201" s="1" t="s">
        <v>354</v>
      </c>
      <c r="B201" s="1" t="s">
        <v>160</v>
      </c>
      <c r="C201" s="1">
        <v>0</v>
      </c>
      <c r="D201" s="1">
        <v>0</v>
      </c>
      <c r="E201" s="1">
        <v>0</v>
      </c>
      <c r="F201" s="1">
        <v>0</v>
      </c>
      <c r="G201" s="1">
        <v>2</v>
      </c>
      <c r="H201" s="1">
        <v>0</v>
      </c>
      <c r="I201" s="1">
        <v>0</v>
      </c>
      <c r="J201" s="1">
        <v>0</v>
      </c>
      <c r="K201" s="1">
        <v>2</v>
      </c>
      <c r="L201" s="1">
        <v>0</v>
      </c>
      <c r="M201" s="1">
        <v>1</v>
      </c>
      <c r="N201" s="1">
        <v>0</v>
      </c>
      <c r="O201" s="1">
        <v>0</v>
      </c>
      <c r="P201" s="1">
        <v>0</v>
      </c>
      <c r="Q201" s="1">
        <v>1</v>
      </c>
      <c r="R201" s="1">
        <v>1</v>
      </c>
      <c r="S201" s="1">
        <v>0</v>
      </c>
      <c r="T201" s="1">
        <v>2</v>
      </c>
      <c r="U201" s="1">
        <v>0</v>
      </c>
      <c r="V201" s="1">
        <v>0</v>
      </c>
      <c r="W201" s="1">
        <v>0</v>
      </c>
      <c r="X201" s="1">
        <v>2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0</v>
      </c>
      <c r="AE201" s="1">
        <v>0</v>
      </c>
      <c r="AF201" s="1">
        <v>0</v>
      </c>
      <c r="AG201" s="1">
        <v>0</v>
      </c>
    </row>
    <row r="202" spans="1:33" ht="15" x14ac:dyDescent="0.3">
      <c r="A202" s="1" t="s">
        <v>354</v>
      </c>
      <c r="B202" s="1" t="s">
        <v>161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ht="15" x14ac:dyDescent="0.3">
      <c r="A203" s="1" t="s">
        <v>354</v>
      </c>
      <c r="B203" s="1" t="s">
        <v>162</v>
      </c>
      <c r="C203" s="1">
        <v>0</v>
      </c>
      <c r="D203" s="1">
        <v>0</v>
      </c>
      <c r="E203" s="1">
        <v>0</v>
      </c>
      <c r="F203" s="1">
        <v>0</v>
      </c>
      <c r="G203" s="1">
        <v>2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1</v>
      </c>
      <c r="W203" s="1">
        <v>0</v>
      </c>
      <c r="X203" s="1">
        <v>0</v>
      </c>
      <c r="Y203" s="1">
        <v>3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ht="15" x14ac:dyDescent="0.3">
      <c r="A204" s="1" t="s">
        <v>354</v>
      </c>
      <c r="B204" s="1" t="s">
        <v>163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4</v>
      </c>
      <c r="K204" s="1">
        <v>0</v>
      </c>
      <c r="L204" s="1">
        <v>0</v>
      </c>
      <c r="M204" s="1">
        <v>3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</v>
      </c>
      <c r="U204" s="1">
        <v>2</v>
      </c>
      <c r="V204" s="1">
        <v>1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</row>
    <row r="205" spans="1:33" ht="15" x14ac:dyDescent="0.3">
      <c r="A205" s="1" t="s">
        <v>354</v>
      </c>
      <c r="B205" s="1" t="s">
        <v>164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1</v>
      </c>
      <c r="O205" s="1">
        <v>1</v>
      </c>
      <c r="P205" s="1">
        <v>2</v>
      </c>
      <c r="Q205" s="1">
        <v>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ht="15" x14ac:dyDescent="0.3">
      <c r="A206" s="1" t="s">
        <v>354</v>
      </c>
      <c r="B206" s="1" t="s">
        <v>165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2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ht="15" x14ac:dyDescent="0.3">
      <c r="A207" s="1" t="s">
        <v>357</v>
      </c>
      <c r="B207" s="1" t="s">
        <v>123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0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</row>
    <row r="208" spans="1:33" ht="15" x14ac:dyDescent="0.3">
      <c r="A208" s="1" t="s">
        <v>357</v>
      </c>
      <c r="B208" s="1" t="s">
        <v>124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ht="15" x14ac:dyDescent="0.3">
      <c r="A209" s="1" t="s">
        <v>357</v>
      </c>
      <c r="B209" s="1" t="s">
        <v>125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</row>
    <row r="210" spans="1:33" ht="15" x14ac:dyDescent="0.3">
      <c r="A210" s="1" t="s">
        <v>357</v>
      </c>
      <c r="B210" s="1" t="s">
        <v>126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2</v>
      </c>
      <c r="P210" s="1">
        <v>1</v>
      </c>
      <c r="Q210" s="1">
        <v>0</v>
      </c>
      <c r="R210" s="1">
        <v>1</v>
      </c>
      <c r="S210" s="1">
        <v>2</v>
      </c>
      <c r="T210" s="1">
        <v>0</v>
      </c>
      <c r="U210" s="1">
        <v>1</v>
      </c>
      <c r="V210" s="1">
        <v>0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ht="15" x14ac:dyDescent="0.3">
      <c r="A211" s="1" t="s">
        <v>357</v>
      </c>
      <c r="B211" s="1" t="s">
        <v>127</v>
      </c>
      <c r="C211" s="1">
        <v>0</v>
      </c>
      <c r="D211" s="1">
        <v>0</v>
      </c>
      <c r="E211" s="1">
        <v>1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  <c r="R211" s="1">
        <v>0</v>
      </c>
      <c r="S211" s="1">
        <v>2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1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</row>
    <row r="212" spans="1:33" ht="15" x14ac:dyDescent="0.3">
      <c r="A212" s="1" t="s">
        <v>357</v>
      </c>
      <c r="B212" s="1" t="s">
        <v>128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2</v>
      </c>
      <c r="Q212" s="1">
        <v>0</v>
      </c>
      <c r="R212" s="1">
        <v>1</v>
      </c>
      <c r="S212" s="1">
        <v>0</v>
      </c>
      <c r="T212" s="1">
        <v>2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ht="15" x14ac:dyDescent="0.3">
      <c r="A213" s="1" t="s">
        <v>357</v>
      </c>
      <c r="B213" s="1" t="s">
        <v>129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1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2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2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4" spans="1:33" ht="15" x14ac:dyDescent="0.3">
      <c r="A214" s="1" t="s">
        <v>357</v>
      </c>
      <c r="B214" s="1" t="s">
        <v>130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1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0</v>
      </c>
      <c r="AA214" s="1">
        <v>2</v>
      </c>
      <c r="AB214" s="1">
        <v>0</v>
      </c>
      <c r="AC214" s="1">
        <v>2</v>
      </c>
      <c r="AD214" s="1">
        <v>0</v>
      </c>
      <c r="AE214" s="1">
        <v>0</v>
      </c>
      <c r="AF214" s="1">
        <v>0</v>
      </c>
      <c r="AG214" s="1">
        <v>0</v>
      </c>
    </row>
    <row r="215" spans="1:33" ht="15" x14ac:dyDescent="0.3">
      <c r="A215" s="1" t="s">
        <v>357</v>
      </c>
      <c r="B215" s="1" t="s">
        <v>131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1</v>
      </c>
      <c r="V215" s="1">
        <v>0</v>
      </c>
      <c r="W215" s="1">
        <v>3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1</v>
      </c>
      <c r="AF215" s="1">
        <v>0</v>
      </c>
      <c r="AG215" s="1">
        <v>0</v>
      </c>
    </row>
    <row r="216" spans="1:33" ht="15" x14ac:dyDescent="0.3">
      <c r="A216" s="1" t="s">
        <v>357</v>
      </c>
      <c r="B216" s="1" t="s">
        <v>132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2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2</v>
      </c>
      <c r="O216" s="1">
        <v>1</v>
      </c>
      <c r="P216" s="1">
        <v>3</v>
      </c>
      <c r="Q216" s="1">
        <v>0</v>
      </c>
      <c r="R216" s="1">
        <v>2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</row>
    <row r="217" spans="1:33" ht="15" x14ac:dyDescent="0.3">
      <c r="A217" s="1" t="s">
        <v>357</v>
      </c>
      <c r="B217" s="1" t="s">
        <v>133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1</v>
      </c>
      <c r="AA217" s="1">
        <v>2</v>
      </c>
      <c r="AB217" s="1">
        <v>1</v>
      </c>
      <c r="AC217" s="1">
        <v>0</v>
      </c>
      <c r="AD217" s="1">
        <v>2</v>
      </c>
      <c r="AE217" s="1">
        <v>0</v>
      </c>
      <c r="AF217" s="1">
        <v>1</v>
      </c>
      <c r="AG217" s="1">
        <v>0</v>
      </c>
    </row>
    <row r="218" spans="1:33" ht="15" x14ac:dyDescent="0.3">
      <c r="A218" s="1" t="s">
        <v>356</v>
      </c>
      <c r="B218" s="1" t="s">
        <v>134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">
        <v>0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</row>
    <row r="219" spans="1:33" ht="15" x14ac:dyDescent="0.3">
      <c r="A219" s="1" t="s">
        <v>356</v>
      </c>
      <c r="B219" s="1" t="s">
        <v>135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2</v>
      </c>
      <c r="K219" s="1">
        <v>1</v>
      </c>
      <c r="L219" s="1">
        <v>1</v>
      </c>
      <c r="M219" s="1">
        <v>0</v>
      </c>
      <c r="N219" s="1">
        <v>1</v>
      </c>
      <c r="O219" s="1">
        <v>1</v>
      </c>
      <c r="P219" s="1">
        <v>0</v>
      </c>
      <c r="Q219" s="1">
        <v>0</v>
      </c>
      <c r="R219" s="1">
        <v>0</v>
      </c>
      <c r="S219" s="1">
        <v>1</v>
      </c>
      <c r="T219" s="1">
        <v>1</v>
      </c>
      <c r="U219" s="1">
        <v>0</v>
      </c>
      <c r="V219" s="1">
        <v>1</v>
      </c>
      <c r="W219" s="1">
        <v>3</v>
      </c>
      <c r="X219" s="1">
        <v>2</v>
      </c>
      <c r="Y219" s="1">
        <v>4</v>
      </c>
      <c r="Z219" s="1">
        <v>3</v>
      </c>
      <c r="AA219" s="1">
        <v>3</v>
      </c>
      <c r="AB219" s="1">
        <v>2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</row>
    <row r="220" spans="1:33" ht="15" x14ac:dyDescent="0.3">
      <c r="A220" s="1" t="s">
        <v>356</v>
      </c>
      <c r="B220" s="1" t="s">
        <v>136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2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</row>
    <row r="221" spans="1:33" ht="15" x14ac:dyDescent="0.3">
      <c r="A221" s="1" t="s">
        <v>356</v>
      </c>
      <c r="B221" s="1" t="s">
        <v>137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1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</row>
    <row r="222" spans="1:33" ht="15" x14ac:dyDescent="0.3">
      <c r="A222" s="1" t="s">
        <v>356</v>
      </c>
      <c r="B222" s="1" t="s">
        <v>138</v>
      </c>
      <c r="C222" s="1">
        <v>0</v>
      </c>
      <c r="D222" s="1">
        <v>1</v>
      </c>
      <c r="E222" s="1">
        <v>0</v>
      </c>
      <c r="F222" s="1">
        <v>0</v>
      </c>
      <c r="G222" s="1">
        <v>0</v>
      </c>
      <c r="H222" s="1">
        <v>1</v>
      </c>
      <c r="I222" s="1">
        <v>3</v>
      </c>
      <c r="J222" s="1">
        <v>2</v>
      </c>
      <c r="K222" s="1">
        <v>0</v>
      </c>
      <c r="L222" s="1">
        <v>4</v>
      </c>
      <c r="M222" s="1">
        <v>2</v>
      </c>
      <c r="N222" s="1">
        <v>4</v>
      </c>
      <c r="O222" s="1">
        <v>1</v>
      </c>
      <c r="P222" s="1">
        <v>3</v>
      </c>
      <c r="Q222" s="1">
        <v>1</v>
      </c>
      <c r="R222" s="1">
        <v>0</v>
      </c>
      <c r="S222" s="1">
        <v>5</v>
      </c>
      <c r="T222" s="1">
        <v>2</v>
      </c>
      <c r="U222" s="1">
        <v>1</v>
      </c>
      <c r="V222" s="1">
        <v>0</v>
      </c>
      <c r="W222" s="1">
        <v>0</v>
      </c>
      <c r="X222" s="1">
        <v>2</v>
      </c>
      <c r="Y222" s="1">
        <v>1</v>
      </c>
      <c r="Z222" s="1">
        <v>1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</row>
    <row r="223" spans="1:33" ht="15" x14ac:dyDescent="0.3">
      <c r="A223" s="1" t="s">
        <v>72</v>
      </c>
      <c r="B223" s="1" t="s">
        <v>73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3</v>
      </c>
      <c r="J223" s="1">
        <v>2</v>
      </c>
      <c r="K223" s="1">
        <v>0</v>
      </c>
      <c r="L223" s="1">
        <v>0</v>
      </c>
      <c r="M223" s="1">
        <v>2</v>
      </c>
      <c r="N223" s="1">
        <v>1</v>
      </c>
      <c r="O223" s="1">
        <v>0</v>
      </c>
      <c r="P223" s="1">
        <v>3</v>
      </c>
      <c r="Q223" s="1">
        <v>0</v>
      </c>
      <c r="R223" s="1">
        <v>2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</row>
    <row r="224" spans="1:33" ht="15" x14ac:dyDescent="0.3">
      <c r="A224" s="1" t="s">
        <v>72</v>
      </c>
      <c r="B224" s="1" t="s">
        <v>74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</row>
    <row r="225" spans="1:33" ht="15" x14ac:dyDescent="0.3">
      <c r="A225" s="1" t="s">
        <v>352</v>
      </c>
      <c r="B225" s="1" t="s">
        <v>175</v>
      </c>
      <c r="C225" s="1">
        <v>0</v>
      </c>
      <c r="D225" s="1">
        <v>0</v>
      </c>
      <c r="E225" s="1">
        <v>2</v>
      </c>
      <c r="F225" s="1">
        <v>0</v>
      </c>
      <c r="G225" s="1">
        <v>1</v>
      </c>
      <c r="H225" s="1">
        <v>4</v>
      </c>
      <c r="I225" s="1">
        <v>0</v>
      </c>
      <c r="J225" s="1">
        <v>1</v>
      </c>
      <c r="K225" s="1">
        <v>8</v>
      </c>
      <c r="L225" s="1">
        <v>0</v>
      </c>
      <c r="M225" s="1">
        <v>7</v>
      </c>
      <c r="N225" s="1">
        <v>0</v>
      </c>
      <c r="O225" s="1">
        <v>1</v>
      </c>
      <c r="P225" s="1">
        <v>1</v>
      </c>
      <c r="Q225" s="1">
        <v>3</v>
      </c>
      <c r="R225" s="1">
        <v>2</v>
      </c>
      <c r="S225" s="1">
        <v>2</v>
      </c>
      <c r="T225" s="1">
        <v>3</v>
      </c>
      <c r="U225" s="1">
        <v>5</v>
      </c>
      <c r="V225" s="1">
        <v>0</v>
      </c>
      <c r="W225" s="1">
        <v>2</v>
      </c>
      <c r="X225" s="1">
        <v>2</v>
      </c>
      <c r="Y225" s="1">
        <v>1</v>
      </c>
      <c r="Z225" s="1">
        <v>0</v>
      </c>
      <c r="AA225" s="1">
        <v>2</v>
      </c>
      <c r="AB225" s="1">
        <v>0</v>
      </c>
      <c r="AC225" s="1">
        <v>0</v>
      </c>
      <c r="AD225" s="1">
        <v>0</v>
      </c>
      <c r="AE225" s="1">
        <v>1</v>
      </c>
      <c r="AF225" s="1">
        <v>0</v>
      </c>
      <c r="AG225" s="1">
        <v>1</v>
      </c>
    </row>
    <row r="226" spans="1:33" ht="15" x14ac:dyDescent="0.3">
      <c r="A226" s="1" t="s">
        <v>352</v>
      </c>
      <c r="B226" s="1" t="s">
        <v>176</v>
      </c>
      <c r="C226" s="1">
        <v>0</v>
      </c>
      <c r="D226" s="1">
        <v>1</v>
      </c>
      <c r="E226" s="1">
        <v>0</v>
      </c>
      <c r="F226" s="1">
        <v>1</v>
      </c>
      <c r="G226" s="1">
        <v>1</v>
      </c>
      <c r="H226" s="1">
        <v>1</v>
      </c>
      <c r="I226" s="1">
        <v>5</v>
      </c>
      <c r="J226" s="1">
        <v>1</v>
      </c>
      <c r="K226" s="1">
        <v>2</v>
      </c>
      <c r="L226" s="1">
        <v>2</v>
      </c>
      <c r="M226" s="1">
        <v>5</v>
      </c>
      <c r="N226" s="1">
        <v>5</v>
      </c>
      <c r="O226" s="1">
        <v>0</v>
      </c>
      <c r="P226" s="1">
        <v>1</v>
      </c>
      <c r="Q226" s="1">
        <v>0</v>
      </c>
      <c r="R226" s="1">
        <v>2</v>
      </c>
      <c r="S226" s="1">
        <v>2</v>
      </c>
      <c r="T226" s="1">
        <v>2</v>
      </c>
      <c r="U226" s="1">
        <v>2</v>
      </c>
      <c r="V226" s="1">
        <v>1</v>
      </c>
      <c r="W226" s="1">
        <v>1</v>
      </c>
      <c r="X226" s="1">
        <v>2</v>
      </c>
      <c r="Y226" s="1">
        <v>1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</row>
    <row r="227" spans="1:33" ht="15" x14ac:dyDescent="0.3">
      <c r="A227" s="1" t="s">
        <v>352</v>
      </c>
      <c r="B227" s="1" t="s">
        <v>177</v>
      </c>
      <c r="C227" s="1">
        <v>0</v>
      </c>
      <c r="D227" s="1">
        <v>0</v>
      </c>
      <c r="E227" s="1">
        <v>0</v>
      </c>
      <c r="F227" s="1">
        <v>0</v>
      </c>
      <c r="G227" s="1">
        <v>1</v>
      </c>
      <c r="H227" s="1">
        <v>2</v>
      </c>
      <c r="I227" s="1">
        <v>3</v>
      </c>
      <c r="J227" s="1">
        <v>2</v>
      </c>
      <c r="K227" s="1">
        <v>3</v>
      </c>
      <c r="L227" s="1">
        <v>4</v>
      </c>
      <c r="M227" s="1">
        <v>1</v>
      </c>
      <c r="N227" s="1">
        <v>1</v>
      </c>
      <c r="O227" s="1">
        <v>2</v>
      </c>
      <c r="P227" s="1">
        <v>0</v>
      </c>
      <c r="Q227" s="1">
        <v>0</v>
      </c>
      <c r="R227" s="1">
        <v>5</v>
      </c>
      <c r="S227" s="1">
        <v>2</v>
      </c>
      <c r="T227" s="1">
        <v>1</v>
      </c>
      <c r="U227" s="1">
        <v>2</v>
      </c>
      <c r="V227" s="1">
        <v>1</v>
      </c>
      <c r="W227" s="1">
        <v>2</v>
      </c>
      <c r="X227" s="1">
        <v>0</v>
      </c>
      <c r="Y227" s="1">
        <v>1</v>
      </c>
      <c r="Z227" s="1">
        <v>2</v>
      </c>
      <c r="AA227" s="1">
        <v>0</v>
      </c>
      <c r="AB227" s="1">
        <v>1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</row>
    <row r="228" spans="1:33" ht="15" x14ac:dyDescent="0.3">
      <c r="A228" s="1" t="s">
        <v>352</v>
      </c>
      <c r="B228" s="1" t="s">
        <v>178</v>
      </c>
      <c r="C228" s="1">
        <v>0</v>
      </c>
      <c r="D228" s="1">
        <v>0</v>
      </c>
      <c r="E228" s="1">
        <v>0</v>
      </c>
      <c r="F228" s="1">
        <v>1</v>
      </c>
      <c r="G228" s="1">
        <v>2</v>
      </c>
      <c r="H228" s="1">
        <v>1</v>
      </c>
      <c r="I228" s="1">
        <v>1</v>
      </c>
      <c r="J228" s="1">
        <v>1</v>
      </c>
      <c r="K228" s="1">
        <v>2</v>
      </c>
      <c r="L228" s="1">
        <v>1</v>
      </c>
      <c r="M228" s="1">
        <v>0</v>
      </c>
      <c r="N228" s="1">
        <v>1</v>
      </c>
      <c r="O228" s="1">
        <v>1</v>
      </c>
      <c r="P228" s="1">
        <v>3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</row>
    <row r="229" spans="1:33" ht="15" x14ac:dyDescent="0.3">
      <c r="A229" s="1" t="s">
        <v>352</v>
      </c>
      <c r="B229" s="1" t="s">
        <v>179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2</v>
      </c>
      <c r="J229" s="1">
        <v>3</v>
      </c>
      <c r="K229" s="1">
        <v>3</v>
      </c>
      <c r="L229" s="1">
        <v>1</v>
      </c>
      <c r="M229" s="1">
        <v>0</v>
      </c>
      <c r="N229" s="1">
        <v>3</v>
      </c>
      <c r="O229" s="1">
        <v>3</v>
      </c>
      <c r="P229" s="1">
        <v>1</v>
      </c>
      <c r="Q229" s="1">
        <v>0</v>
      </c>
      <c r="R229" s="1">
        <v>1</v>
      </c>
      <c r="S229" s="1">
        <v>0</v>
      </c>
      <c r="T229" s="1">
        <v>2</v>
      </c>
      <c r="U229" s="1">
        <v>1</v>
      </c>
      <c r="V229" s="1">
        <v>1</v>
      </c>
      <c r="W229" s="1">
        <v>0</v>
      </c>
      <c r="X229" s="1">
        <v>2</v>
      </c>
      <c r="Y229" s="1">
        <v>0</v>
      </c>
      <c r="Z229" s="1">
        <v>0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</row>
    <row r="230" spans="1:33" ht="15" x14ac:dyDescent="0.3">
      <c r="A230" s="1" t="s">
        <v>352</v>
      </c>
      <c r="B230" s="1" t="s">
        <v>180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1</v>
      </c>
      <c r="K230" s="1">
        <v>2</v>
      </c>
      <c r="L230" s="1">
        <v>0</v>
      </c>
      <c r="M230" s="1">
        <v>1</v>
      </c>
      <c r="N230" s="1">
        <v>2</v>
      </c>
      <c r="O230" s="1">
        <v>3</v>
      </c>
      <c r="P230" s="1">
        <v>3</v>
      </c>
      <c r="Q230" s="1">
        <v>0</v>
      </c>
      <c r="R230" s="1">
        <v>2</v>
      </c>
      <c r="S230" s="1">
        <v>4</v>
      </c>
      <c r="T230" s="1">
        <v>2</v>
      </c>
      <c r="U230" s="1">
        <v>0</v>
      </c>
      <c r="V230" s="1">
        <v>4</v>
      </c>
      <c r="W230" s="1">
        <v>7</v>
      </c>
      <c r="X230" s="1">
        <v>1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1</v>
      </c>
    </row>
    <row r="231" spans="1:33" ht="15" x14ac:dyDescent="0.3">
      <c r="A231" s="1" t="s">
        <v>352</v>
      </c>
      <c r="B231" s="1" t="s">
        <v>181</v>
      </c>
      <c r="C231" s="1">
        <v>0</v>
      </c>
      <c r="D231" s="1">
        <v>0</v>
      </c>
      <c r="E231" s="1">
        <v>0</v>
      </c>
      <c r="F231" s="1">
        <v>2</v>
      </c>
      <c r="G231" s="1">
        <v>1</v>
      </c>
      <c r="H231" s="1">
        <v>2</v>
      </c>
      <c r="I231" s="1">
        <v>2</v>
      </c>
      <c r="J231" s="1">
        <v>3</v>
      </c>
      <c r="K231" s="1">
        <v>1</v>
      </c>
      <c r="L231" s="1">
        <v>3</v>
      </c>
      <c r="M231" s="1">
        <v>2</v>
      </c>
      <c r="N231" s="1">
        <v>2</v>
      </c>
      <c r="O231" s="1">
        <v>1</v>
      </c>
      <c r="P231" s="1">
        <v>3</v>
      </c>
      <c r="Q231" s="1">
        <v>3</v>
      </c>
      <c r="R231" s="1">
        <v>4</v>
      </c>
      <c r="S231" s="1">
        <v>4</v>
      </c>
      <c r="T231" s="1">
        <v>8</v>
      </c>
      <c r="U231" s="1">
        <v>1</v>
      </c>
      <c r="V231" s="1">
        <v>1</v>
      </c>
      <c r="W231" s="1">
        <v>1</v>
      </c>
      <c r="X231" s="1">
        <v>2</v>
      </c>
      <c r="Y231" s="1">
        <v>1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</row>
    <row r="232" spans="1:33" ht="15" x14ac:dyDescent="0.3">
      <c r="A232" s="1" t="s">
        <v>352</v>
      </c>
      <c r="B232" s="1" t="s">
        <v>182</v>
      </c>
      <c r="C232" s="1">
        <v>0</v>
      </c>
      <c r="D232" s="1">
        <v>0</v>
      </c>
      <c r="E232" s="1">
        <v>0</v>
      </c>
      <c r="F232" s="1">
        <v>1</v>
      </c>
      <c r="G232" s="1">
        <v>1</v>
      </c>
      <c r="H232" s="1">
        <v>3</v>
      </c>
      <c r="I232" s="1">
        <v>0</v>
      </c>
      <c r="J232" s="1">
        <v>0</v>
      </c>
      <c r="K232" s="1">
        <v>0</v>
      </c>
      <c r="L232" s="1">
        <v>3</v>
      </c>
      <c r="M232" s="1">
        <v>0</v>
      </c>
      <c r="N232" s="1">
        <v>3</v>
      </c>
      <c r="O232" s="1">
        <v>3</v>
      </c>
      <c r="P232" s="1">
        <v>4</v>
      </c>
      <c r="Q232" s="1">
        <v>3</v>
      </c>
      <c r="R232" s="1">
        <v>4</v>
      </c>
      <c r="S232" s="1">
        <v>7</v>
      </c>
      <c r="T232" s="1">
        <v>3</v>
      </c>
      <c r="U232" s="1">
        <v>3</v>
      </c>
      <c r="V232" s="1">
        <v>1</v>
      </c>
      <c r="W232" s="1">
        <v>0</v>
      </c>
      <c r="X232" s="1">
        <v>2</v>
      </c>
      <c r="Y232" s="1">
        <v>1</v>
      </c>
      <c r="Z232" s="1">
        <v>1</v>
      </c>
      <c r="AA232" s="1">
        <v>3</v>
      </c>
      <c r="AB232" s="1">
        <v>3</v>
      </c>
      <c r="AC232" s="1">
        <v>2</v>
      </c>
      <c r="AD232" s="1">
        <v>1</v>
      </c>
      <c r="AE232" s="1">
        <v>0</v>
      </c>
      <c r="AF232" s="1">
        <v>0</v>
      </c>
      <c r="AG232" s="1">
        <v>0</v>
      </c>
    </row>
    <row r="233" spans="1:33" ht="15" x14ac:dyDescent="0.3">
      <c r="A233" s="1" t="s">
        <v>352</v>
      </c>
      <c r="B233" s="1" t="s">
        <v>183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1">
        <v>1</v>
      </c>
      <c r="J233" s="1">
        <v>0</v>
      </c>
      <c r="K233" s="1">
        <v>2</v>
      </c>
      <c r="L233" s="1">
        <v>4</v>
      </c>
      <c r="M233" s="1">
        <v>1</v>
      </c>
      <c r="N233" s="1">
        <v>1</v>
      </c>
      <c r="O233" s="1">
        <v>2</v>
      </c>
      <c r="P233" s="1">
        <v>0</v>
      </c>
      <c r="Q233" s="1">
        <v>0</v>
      </c>
      <c r="R233" s="1">
        <v>2</v>
      </c>
      <c r="S233" s="1">
        <v>0</v>
      </c>
      <c r="T233" s="1">
        <v>1</v>
      </c>
      <c r="U233" s="1">
        <v>0</v>
      </c>
      <c r="V233" s="1">
        <v>1</v>
      </c>
      <c r="W233" s="1">
        <v>1</v>
      </c>
      <c r="X233" s="1">
        <v>3</v>
      </c>
      <c r="Y233" s="1">
        <v>0</v>
      </c>
      <c r="Z233" s="1">
        <v>3</v>
      </c>
      <c r="AA233" s="1">
        <v>5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</row>
    <row r="234" spans="1:33" ht="15" x14ac:dyDescent="0.3">
      <c r="A234" s="1" t="s">
        <v>352</v>
      </c>
      <c r="B234" s="1" t="s">
        <v>184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2</v>
      </c>
      <c r="I234" s="1">
        <v>0</v>
      </c>
      <c r="J234" s="1">
        <v>1</v>
      </c>
      <c r="K234" s="1">
        <v>3</v>
      </c>
      <c r="L234" s="1">
        <v>2</v>
      </c>
      <c r="M234" s="1">
        <v>0</v>
      </c>
      <c r="N234" s="1">
        <v>0</v>
      </c>
      <c r="O234" s="1">
        <v>1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0</v>
      </c>
      <c r="AA234" s="1">
        <v>2</v>
      </c>
      <c r="AB234" s="1">
        <v>0</v>
      </c>
      <c r="AC234" s="1">
        <v>0</v>
      </c>
      <c r="AD234" s="1">
        <v>1</v>
      </c>
      <c r="AE234" s="1">
        <v>0</v>
      </c>
      <c r="AF234" s="1">
        <v>0</v>
      </c>
      <c r="AG234" s="1">
        <v>0</v>
      </c>
    </row>
    <row r="235" spans="1:33" ht="15" x14ac:dyDescent="0.3">
      <c r="A235" s="1" t="s">
        <v>352</v>
      </c>
      <c r="B235" s="1" t="s">
        <v>185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1</v>
      </c>
      <c r="I235" s="1">
        <v>1</v>
      </c>
      <c r="J235" s="1">
        <v>0</v>
      </c>
      <c r="K235" s="1">
        <v>2</v>
      </c>
      <c r="L235" s="1">
        <v>2</v>
      </c>
      <c r="M235" s="1">
        <v>1</v>
      </c>
      <c r="N235" s="1">
        <v>1</v>
      </c>
      <c r="O235" s="1">
        <v>1</v>
      </c>
      <c r="P235" s="1">
        <v>3</v>
      </c>
      <c r="Q235" s="1">
        <v>1</v>
      </c>
      <c r="R235" s="1">
        <v>2</v>
      </c>
      <c r="S235" s="1">
        <v>5</v>
      </c>
      <c r="T235" s="1">
        <v>6</v>
      </c>
      <c r="U235" s="1">
        <v>4</v>
      </c>
      <c r="V235" s="1">
        <v>5</v>
      </c>
      <c r="W235" s="1">
        <v>1</v>
      </c>
      <c r="X235" s="1">
        <v>1</v>
      </c>
      <c r="Y235" s="1">
        <v>0</v>
      </c>
      <c r="Z235" s="1">
        <v>3</v>
      </c>
      <c r="AA235" s="1">
        <v>0</v>
      </c>
      <c r="AB235" s="1">
        <v>1</v>
      </c>
      <c r="AC235" s="1">
        <v>1</v>
      </c>
      <c r="AD235" s="1">
        <v>1</v>
      </c>
      <c r="AE235" s="1">
        <v>0</v>
      </c>
      <c r="AF235" s="1">
        <v>0</v>
      </c>
      <c r="AG235" s="1">
        <v>0</v>
      </c>
    </row>
    <row r="236" spans="1:33" ht="15" x14ac:dyDescent="0.3">
      <c r="A236" s="1" t="s">
        <v>352</v>
      </c>
      <c r="B236" s="1" t="s">
        <v>186</v>
      </c>
      <c r="C236" s="1">
        <v>0</v>
      </c>
      <c r="D236" s="1">
        <v>0</v>
      </c>
      <c r="E236" s="1">
        <v>0</v>
      </c>
      <c r="F236" s="1">
        <v>2</v>
      </c>
      <c r="G236" s="1">
        <v>0</v>
      </c>
      <c r="H236" s="1">
        <v>0</v>
      </c>
      <c r="I236" s="1">
        <v>6</v>
      </c>
      <c r="J236" s="1">
        <v>2</v>
      </c>
      <c r="K236" s="1">
        <v>2</v>
      </c>
      <c r="L236" s="1">
        <v>1</v>
      </c>
      <c r="M236" s="1">
        <v>5</v>
      </c>
      <c r="N236" s="1">
        <v>2</v>
      </c>
      <c r="O236" s="1">
        <v>0</v>
      </c>
      <c r="P236" s="1">
        <v>6</v>
      </c>
      <c r="Q236" s="1">
        <v>0</v>
      </c>
      <c r="R236" s="1">
        <v>1</v>
      </c>
      <c r="S236" s="1">
        <v>3</v>
      </c>
      <c r="T236" s="1">
        <v>4</v>
      </c>
      <c r="U236" s="1">
        <v>1</v>
      </c>
      <c r="V236" s="1">
        <v>2</v>
      </c>
      <c r="W236" s="1">
        <v>2</v>
      </c>
      <c r="X236" s="1">
        <v>2</v>
      </c>
      <c r="Y236" s="1">
        <v>2</v>
      </c>
      <c r="Z236" s="1">
        <v>3</v>
      </c>
      <c r="AA236" s="1">
        <v>0</v>
      </c>
      <c r="AB236" s="1">
        <v>0</v>
      </c>
      <c r="AC236" s="1">
        <v>0</v>
      </c>
      <c r="AD236" s="1">
        <v>1</v>
      </c>
      <c r="AE236" s="1">
        <v>0</v>
      </c>
      <c r="AF236" s="1">
        <v>0</v>
      </c>
      <c r="AG236" s="1">
        <v>0</v>
      </c>
    </row>
    <row r="237" spans="1:33" ht="15" x14ac:dyDescent="0.3">
      <c r="A237" s="1" t="s">
        <v>352</v>
      </c>
      <c r="B237" s="1" t="s">
        <v>187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2</v>
      </c>
      <c r="K237" s="1">
        <v>1</v>
      </c>
      <c r="L237" s="1">
        <v>1</v>
      </c>
      <c r="M237" s="1">
        <v>2</v>
      </c>
      <c r="N237" s="1">
        <v>1</v>
      </c>
      <c r="O237" s="1">
        <v>1</v>
      </c>
      <c r="P237" s="1">
        <v>1</v>
      </c>
      <c r="Q237" s="1">
        <v>0</v>
      </c>
      <c r="R237" s="1">
        <v>2</v>
      </c>
      <c r="S237" s="1">
        <v>3</v>
      </c>
      <c r="T237" s="1">
        <v>5</v>
      </c>
      <c r="U237" s="1">
        <v>7</v>
      </c>
      <c r="V237" s="1">
        <v>6</v>
      </c>
      <c r="W237" s="1">
        <v>1</v>
      </c>
      <c r="X237" s="1">
        <v>3</v>
      </c>
      <c r="Y237" s="1">
        <v>1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</row>
    <row r="238" spans="1:33" ht="15" x14ac:dyDescent="0.3">
      <c r="A238" s="1" t="s">
        <v>352</v>
      </c>
      <c r="B238" s="1" t="s">
        <v>188</v>
      </c>
      <c r="C238" s="1">
        <v>0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3</v>
      </c>
      <c r="J238" s="1">
        <v>1</v>
      </c>
      <c r="K238" s="1">
        <v>2</v>
      </c>
      <c r="L238" s="1">
        <v>0</v>
      </c>
      <c r="M238" s="1">
        <v>1</v>
      </c>
      <c r="N238" s="1">
        <v>0</v>
      </c>
      <c r="O238" s="1">
        <v>1</v>
      </c>
      <c r="P238" s="1">
        <v>1</v>
      </c>
      <c r="Q238" s="1">
        <v>0</v>
      </c>
      <c r="R238" s="1">
        <v>2</v>
      </c>
      <c r="S238" s="1">
        <v>1</v>
      </c>
      <c r="T238" s="1">
        <v>0</v>
      </c>
      <c r="U238" s="1">
        <v>1</v>
      </c>
      <c r="V238" s="1">
        <v>2</v>
      </c>
      <c r="W238" s="1">
        <v>0</v>
      </c>
      <c r="X238" s="1">
        <v>1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</row>
    <row r="239" spans="1:33" ht="15" x14ac:dyDescent="0.3">
      <c r="A239" s="1" t="s">
        <v>352</v>
      </c>
      <c r="B239" s="1" t="s">
        <v>189</v>
      </c>
      <c r="C239" s="1">
        <v>1</v>
      </c>
      <c r="D239" s="1">
        <v>0</v>
      </c>
      <c r="E239" s="1">
        <v>2</v>
      </c>
      <c r="F239" s="1">
        <v>1</v>
      </c>
      <c r="G239" s="1">
        <v>2</v>
      </c>
      <c r="H239" s="1">
        <v>2</v>
      </c>
      <c r="I239" s="1">
        <v>5</v>
      </c>
      <c r="J239" s="1">
        <v>2</v>
      </c>
      <c r="K239" s="1">
        <v>2</v>
      </c>
      <c r="L239" s="1">
        <v>4</v>
      </c>
      <c r="M239" s="1">
        <v>0</v>
      </c>
      <c r="N239" s="1">
        <v>0</v>
      </c>
      <c r="O239" s="1">
        <v>3</v>
      </c>
      <c r="P239" s="1">
        <v>2</v>
      </c>
      <c r="Q239" s="1">
        <v>6</v>
      </c>
      <c r="R239" s="1">
        <v>3</v>
      </c>
      <c r="S239" s="1">
        <v>6</v>
      </c>
      <c r="T239" s="1">
        <v>3</v>
      </c>
      <c r="U239" s="1">
        <v>2</v>
      </c>
      <c r="V239" s="1">
        <v>3</v>
      </c>
      <c r="W239" s="1">
        <v>4</v>
      </c>
      <c r="X239" s="1">
        <v>0</v>
      </c>
      <c r="Y239" s="1">
        <v>0</v>
      </c>
      <c r="Z239" s="1">
        <v>0</v>
      </c>
      <c r="AA239" s="1">
        <v>2</v>
      </c>
      <c r="AB239" s="1">
        <v>1</v>
      </c>
      <c r="AC239" s="1">
        <v>1</v>
      </c>
      <c r="AD239" s="1">
        <v>0</v>
      </c>
      <c r="AE239" s="1">
        <v>1</v>
      </c>
      <c r="AF239" s="1">
        <v>1</v>
      </c>
      <c r="AG239" s="1">
        <v>0</v>
      </c>
    </row>
    <row r="240" spans="1:33" ht="15" x14ac:dyDescent="0.3">
      <c r="A240" s="1" t="s">
        <v>343</v>
      </c>
      <c r="B240" s="1" t="s">
        <v>303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</row>
    <row r="241" spans="1:33" ht="15" x14ac:dyDescent="0.3">
      <c r="A241" s="1" t="s">
        <v>343</v>
      </c>
      <c r="B241" s="1" t="s">
        <v>304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</v>
      </c>
      <c r="J241" s="1">
        <v>2</v>
      </c>
      <c r="K241" s="1">
        <v>0</v>
      </c>
      <c r="L241" s="1">
        <v>1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1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</row>
    <row r="242" spans="1:33" ht="15" x14ac:dyDescent="0.3">
      <c r="A242" s="1" t="s">
        <v>343</v>
      </c>
      <c r="B242" s="1" t="s">
        <v>305</v>
      </c>
      <c r="C242" s="1">
        <v>0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>
        <v>1</v>
      </c>
      <c r="M242" s="1">
        <v>1</v>
      </c>
      <c r="N242" s="1">
        <v>1</v>
      </c>
      <c r="O242" s="1">
        <v>2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V242" s="1">
        <v>1</v>
      </c>
      <c r="W242" s="1">
        <v>0</v>
      </c>
      <c r="X242" s="1">
        <v>0</v>
      </c>
      <c r="Y242" s="1">
        <v>0</v>
      </c>
      <c r="Z242" s="1">
        <v>1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</row>
    <row r="243" spans="1:33" ht="15" x14ac:dyDescent="0.3">
      <c r="A243" s="1" t="s">
        <v>343</v>
      </c>
      <c r="B243" s="1" t="s">
        <v>306</v>
      </c>
      <c r="C243" s="1">
        <v>0</v>
      </c>
      <c r="D243" s="1">
        <v>1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1</v>
      </c>
      <c r="N243" s="1">
        <v>0</v>
      </c>
      <c r="O243" s="1">
        <v>2</v>
      </c>
      <c r="P243" s="1">
        <v>0</v>
      </c>
      <c r="Q243" s="1">
        <v>0</v>
      </c>
      <c r="R243" s="1">
        <v>3</v>
      </c>
      <c r="S243" s="1">
        <v>0</v>
      </c>
      <c r="T243" s="1">
        <v>2</v>
      </c>
      <c r="U243" s="1">
        <v>1</v>
      </c>
      <c r="V243" s="1">
        <v>3</v>
      </c>
      <c r="W243" s="1">
        <v>2</v>
      </c>
      <c r="X243" s="1">
        <v>1</v>
      </c>
      <c r="Y243" s="1">
        <v>0</v>
      </c>
      <c r="Z243" s="1">
        <v>0</v>
      </c>
      <c r="AA243" s="1">
        <v>0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</row>
    <row r="244" spans="1:33" ht="15" x14ac:dyDescent="0.3">
      <c r="A244" s="1" t="s">
        <v>343</v>
      </c>
      <c r="B244" s="1" t="s">
        <v>307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3</v>
      </c>
      <c r="V244" s="1">
        <v>0</v>
      </c>
      <c r="W244" s="1">
        <v>1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</row>
    <row r="245" spans="1:33" ht="15" x14ac:dyDescent="0.3">
      <c r="A245" s="1" t="s">
        <v>343</v>
      </c>
      <c r="B245" s="1" t="s">
        <v>308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2</v>
      </c>
      <c r="I245" s="1">
        <v>0</v>
      </c>
      <c r="J245" s="1">
        <v>3</v>
      </c>
      <c r="K245" s="1">
        <v>4</v>
      </c>
      <c r="L245" s="1">
        <v>0</v>
      </c>
      <c r="M245" s="1">
        <v>0</v>
      </c>
      <c r="N245" s="1">
        <v>2</v>
      </c>
      <c r="O245" s="1">
        <v>2</v>
      </c>
      <c r="P245" s="1">
        <v>2</v>
      </c>
      <c r="Q245" s="1">
        <v>4</v>
      </c>
      <c r="R245" s="1">
        <v>2</v>
      </c>
      <c r="S245" s="1">
        <v>5</v>
      </c>
      <c r="T245" s="1">
        <v>1</v>
      </c>
      <c r="U245" s="1">
        <v>2</v>
      </c>
      <c r="V245" s="1">
        <v>3</v>
      </c>
      <c r="W245" s="1">
        <v>0</v>
      </c>
      <c r="X245" s="1">
        <v>1</v>
      </c>
      <c r="Y245" s="1">
        <v>1</v>
      </c>
      <c r="Z245" s="1">
        <v>1</v>
      </c>
      <c r="AA245" s="1">
        <v>0</v>
      </c>
      <c r="AB245" s="1">
        <v>0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</row>
    <row r="246" spans="1:33" ht="15" x14ac:dyDescent="0.3">
      <c r="A246" s="1" t="s">
        <v>343</v>
      </c>
      <c r="B246" s="1" t="s">
        <v>309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</v>
      </c>
      <c r="O246" s="1">
        <v>1</v>
      </c>
      <c r="P246" s="1">
        <v>3</v>
      </c>
      <c r="Q246" s="1">
        <v>1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1</v>
      </c>
      <c r="AD246" s="1">
        <v>0</v>
      </c>
      <c r="AE246" s="1">
        <v>0</v>
      </c>
      <c r="AF246" s="1">
        <v>1</v>
      </c>
      <c r="AG246" s="1">
        <v>0</v>
      </c>
    </row>
    <row r="247" spans="1:33" ht="15" x14ac:dyDescent="0.3">
      <c r="A247" s="1" t="s">
        <v>343</v>
      </c>
      <c r="B247" s="1" t="s">
        <v>310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2</v>
      </c>
      <c r="J247" s="1">
        <v>0</v>
      </c>
      <c r="K247" s="1">
        <v>0</v>
      </c>
      <c r="L247" s="1">
        <v>1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2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1</v>
      </c>
      <c r="AF247" s="1">
        <v>0</v>
      </c>
      <c r="AG247" s="1">
        <v>0</v>
      </c>
    </row>
    <row r="248" spans="1:33" ht="15" x14ac:dyDescent="0.3">
      <c r="A248" s="1" t="s">
        <v>343</v>
      </c>
      <c r="B248" s="1" t="s">
        <v>311</v>
      </c>
      <c r="C248" s="1">
        <v>0</v>
      </c>
      <c r="D248" s="1">
        <v>0</v>
      </c>
      <c r="E248" s="1">
        <v>0</v>
      </c>
      <c r="F248" s="1">
        <v>2</v>
      </c>
      <c r="G248" s="1">
        <v>0</v>
      </c>
      <c r="H248" s="1">
        <v>0</v>
      </c>
      <c r="I248" s="1">
        <v>0</v>
      </c>
      <c r="J248" s="1">
        <v>1</v>
      </c>
      <c r="K248" s="1">
        <v>1</v>
      </c>
      <c r="L248" s="1">
        <v>3</v>
      </c>
      <c r="M248" s="1">
        <v>1</v>
      </c>
      <c r="N248" s="1">
        <v>2</v>
      </c>
      <c r="O248" s="1">
        <v>0</v>
      </c>
      <c r="P248" s="1">
        <v>3</v>
      </c>
      <c r="Q248" s="1">
        <v>3</v>
      </c>
      <c r="R248" s="1">
        <v>1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</row>
    <row r="249" spans="1:33" ht="15" x14ac:dyDescent="0.3">
      <c r="A249" s="1" t="s">
        <v>343</v>
      </c>
      <c r="B249" s="1" t="s">
        <v>312</v>
      </c>
      <c r="C249" s="1">
        <v>0</v>
      </c>
      <c r="D249" s="1">
        <v>0</v>
      </c>
      <c r="E249" s="1">
        <v>0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2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2</v>
      </c>
      <c r="T249" s="1">
        <v>0</v>
      </c>
      <c r="U249" s="1">
        <v>0</v>
      </c>
      <c r="V249" s="1">
        <v>2</v>
      </c>
      <c r="W249" s="1">
        <v>0</v>
      </c>
      <c r="X249" s="1">
        <v>0</v>
      </c>
      <c r="Y249" s="1">
        <v>1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</row>
    <row r="250" spans="1:33" ht="15" x14ac:dyDescent="0.3">
      <c r="A250" s="1" t="s">
        <v>343</v>
      </c>
      <c r="B250" s="1" t="s">
        <v>313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1</v>
      </c>
      <c r="Q250" s="1">
        <v>0</v>
      </c>
      <c r="R250" s="1">
        <v>0</v>
      </c>
      <c r="S250" s="1">
        <v>1</v>
      </c>
      <c r="T250" s="1">
        <v>1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</row>
    <row r="251" spans="1:33" ht="15" x14ac:dyDescent="0.3">
      <c r="A251" s="1" t="s">
        <v>342</v>
      </c>
      <c r="B251" s="1" t="s">
        <v>314</v>
      </c>
      <c r="C251" s="1">
        <v>0</v>
      </c>
      <c r="D251" s="1">
        <v>0</v>
      </c>
      <c r="E251" s="1">
        <v>1</v>
      </c>
      <c r="F251" s="1">
        <v>0</v>
      </c>
      <c r="G251" s="1">
        <v>2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1</v>
      </c>
      <c r="N251" s="1">
        <v>2</v>
      </c>
      <c r="O251" s="1">
        <v>1</v>
      </c>
      <c r="P251" s="1">
        <v>0</v>
      </c>
      <c r="Q251" s="1">
        <v>3</v>
      </c>
      <c r="R251" s="1">
        <v>4</v>
      </c>
      <c r="S251" s="1">
        <v>0</v>
      </c>
      <c r="T251" s="1">
        <v>0</v>
      </c>
      <c r="U251" s="1">
        <v>1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</row>
    <row r="252" spans="1:33" ht="15" x14ac:dyDescent="0.3">
      <c r="A252" s="1" t="s">
        <v>342</v>
      </c>
      <c r="B252" s="1" t="s">
        <v>315</v>
      </c>
      <c r="C252" s="1">
        <v>0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</v>
      </c>
      <c r="R252" s="1">
        <v>1</v>
      </c>
      <c r="S252" s="1">
        <v>0</v>
      </c>
      <c r="T252" s="1">
        <v>1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</row>
    <row r="253" spans="1:33" ht="15" x14ac:dyDescent="0.3">
      <c r="A253" s="1" t="s">
        <v>342</v>
      </c>
      <c r="B253" s="1" t="s">
        <v>316</v>
      </c>
      <c r="C253" s="1">
        <v>0</v>
      </c>
      <c r="D253" s="1">
        <v>0</v>
      </c>
      <c r="E253" s="1">
        <v>0</v>
      </c>
      <c r="F253" s="1">
        <v>1</v>
      </c>
      <c r="G253" s="1">
        <v>2</v>
      </c>
      <c r="H253" s="1">
        <v>0</v>
      </c>
      <c r="I253" s="1">
        <v>4</v>
      </c>
      <c r="J253" s="1">
        <v>1</v>
      </c>
      <c r="K253" s="1">
        <v>2</v>
      </c>
      <c r="L253" s="1">
        <v>0</v>
      </c>
      <c r="M253" s="1">
        <v>3</v>
      </c>
      <c r="N253" s="1">
        <v>1</v>
      </c>
      <c r="O253" s="1">
        <v>2</v>
      </c>
      <c r="P253" s="1">
        <v>1</v>
      </c>
      <c r="Q253" s="1">
        <v>0</v>
      </c>
      <c r="R253" s="1">
        <v>2</v>
      </c>
      <c r="S253" s="1">
        <v>2</v>
      </c>
      <c r="T253" s="1">
        <v>0</v>
      </c>
      <c r="U253" s="1">
        <v>0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1</v>
      </c>
      <c r="AB253" s="1">
        <v>1</v>
      </c>
      <c r="AC253" s="1">
        <v>0</v>
      </c>
      <c r="AD253" s="1">
        <v>1</v>
      </c>
      <c r="AE253" s="1">
        <v>0</v>
      </c>
      <c r="AF253" s="1">
        <v>0</v>
      </c>
      <c r="AG253" s="1">
        <v>1</v>
      </c>
    </row>
    <row r="254" spans="1:33" ht="15" x14ac:dyDescent="0.3">
      <c r="A254" s="1" t="s">
        <v>342</v>
      </c>
      <c r="B254" s="1" t="s">
        <v>317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2</v>
      </c>
      <c r="K254" s="1">
        <v>1</v>
      </c>
      <c r="L254" s="1">
        <v>0</v>
      </c>
      <c r="M254" s="1">
        <v>0</v>
      </c>
      <c r="N254" s="1">
        <v>2</v>
      </c>
      <c r="O254" s="1">
        <v>1</v>
      </c>
      <c r="P254" s="1">
        <v>1</v>
      </c>
      <c r="Q254" s="1">
        <v>2</v>
      </c>
      <c r="R254" s="1">
        <v>0</v>
      </c>
      <c r="S254" s="1">
        <v>0</v>
      </c>
      <c r="T254" s="1">
        <v>2</v>
      </c>
      <c r="U254" s="1">
        <v>0</v>
      </c>
      <c r="V254" s="1">
        <v>1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</row>
    <row r="255" spans="1:33" ht="15" x14ac:dyDescent="0.3">
      <c r="A255" s="1" t="s">
        <v>342</v>
      </c>
      <c r="B255" s="1" t="s">
        <v>318</v>
      </c>
      <c r="C255" s="1">
        <v>0</v>
      </c>
      <c r="D255" s="1">
        <v>0</v>
      </c>
      <c r="E255" s="1">
        <v>0</v>
      </c>
      <c r="F255" s="1">
        <v>1</v>
      </c>
      <c r="G255" s="1">
        <v>0</v>
      </c>
      <c r="H255" s="1">
        <v>0</v>
      </c>
      <c r="I255" s="1">
        <v>1</v>
      </c>
      <c r="J255" s="1">
        <v>0</v>
      </c>
      <c r="K255" s="1">
        <v>1</v>
      </c>
      <c r="L255" s="1">
        <v>0</v>
      </c>
      <c r="M255" s="1">
        <v>4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</row>
    <row r="256" spans="1:33" ht="15" x14ac:dyDescent="0.3">
      <c r="A256" s="1" t="s">
        <v>342</v>
      </c>
      <c r="B256" s="1" t="s">
        <v>319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1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</row>
    <row r="257" spans="1:33" ht="15" x14ac:dyDescent="0.3">
      <c r="A257" s="1" t="s">
        <v>342</v>
      </c>
      <c r="B257" s="1" t="s">
        <v>320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2</v>
      </c>
      <c r="J257" s="1">
        <v>1</v>
      </c>
      <c r="K257" s="1">
        <v>2</v>
      </c>
      <c r="L257" s="1">
        <v>0</v>
      </c>
      <c r="M257" s="1">
        <v>5</v>
      </c>
      <c r="N257" s="1">
        <v>2</v>
      </c>
      <c r="O257" s="1">
        <v>2</v>
      </c>
      <c r="P257" s="1">
        <v>0</v>
      </c>
      <c r="Q257" s="1">
        <v>1</v>
      </c>
      <c r="R257" s="1">
        <v>3</v>
      </c>
      <c r="S257" s="1">
        <v>1</v>
      </c>
      <c r="T257" s="1">
        <v>1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4</v>
      </c>
      <c r="AD257" s="1">
        <v>0</v>
      </c>
      <c r="AE257" s="1">
        <v>0</v>
      </c>
      <c r="AF257" s="1">
        <v>1</v>
      </c>
      <c r="AG257" s="1">
        <v>0</v>
      </c>
    </row>
    <row r="258" spans="1:33" ht="15" x14ac:dyDescent="0.3">
      <c r="A258" s="1" t="s">
        <v>342</v>
      </c>
      <c r="B258" s="1" t="s">
        <v>321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2</v>
      </c>
      <c r="K258" s="1">
        <v>0</v>
      </c>
      <c r="L258" s="1">
        <v>2</v>
      </c>
      <c r="M258" s="1">
        <v>1</v>
      </c>
      <c r="N258" s="1">
        <v>0</v>
      </c>
      <c r="O258" s="1">
        <v>0</v>
      </c>
      <c r="P258" s="1">
        <v>1</v>
      </c>
      <c r="Q258" s="1">
        <v>0</v>
      </c>
      <c r="R258" s="1">
        <v>3</v>
      </c>
      <c r="S258" s="1">
        <v>0</v>
      </c>
      <c r="T258" s="1">
        <v>0</v>
      </c>
      <c r="U258" s="1">
        <v>0</v>
      </c>
      <c r="V258" s="1">
        <v>4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1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</row>
    <row r="259" spans="1:33" ht="15" x14ac:dyDescent="0.3">
      <c r="A259" s="1" t="s">
        <v>342</v>
      </c>
      <c r="B259" s="1" t="s">
        <v>322</v>
      </c>
      <c r="C259" s="1">
        <v>0</v>
      </c>
      <c r="D259" s="1">
        <v>0</v>
      </c>
      <c r="E259" s="1">
        <v>2</v>
      </c>
      <c r="F259" s="1">
        <v>0</v>
      </c>
      <c r="G259" s="1">
        <v>2</v>
      </c>
      <c r="H259" s="1">
        <v>4</v>
      </c>
      <c r="I259" s="1">
        <v>5</v>
      </c>
      <c r="J259" s="1">
        <v>4</v>
      </c>
      <c r="K259" s="1">
        <v>3</v>
      </c>
      <c r="L259" s="1">
        <v>4</v>
      </c>
      <c r="M259" s="1">
        <v>9</v>
      </c>
      <c r="N259" s="1">
        <v>8</v>
      </c>
      <c r="O259" s="1">
        <v>8</v>
      </c>
      <c r="P259" s="1">
        <v>8</v>
      </c>
      <c r="Q259" s="1">
        <v>5</v>
      </c>
      <c r="R259" s="1">
        <v>10</v>
      </c>
      <c r="S259" s="1">
        <v>4</v>
      </c>
      <c r="T259" s="1">
        <v>6</v>
      </c>
      <c r="U259" s="1">
        <v>8</v>
      </c>
      <c r="V259" s="1">
        <v>8</v>
      </c>
      <c r="W259" s="1">
        <v>2</v>
      </c>
      <c r="X259" s="1">
        <v>6</v>
      </c>
      <c r="Y259" s="1">
        <v>6</v>
      </c>
      <c r="Z259" s="1">
        <v>4</v>
      </c>
      <c r="AA259" s="1">
        <v>0</v>
      </c>
      <c r="AB259" s="1">
        <v>0</v>
      </c>
      <c r="AC259" s="1">
        <v>0</v>
      </c>
      <c r="AD259" s="1">
        <v>3</v>
      </c>
      <c r="AE259" s="1">
        <v>0</v>
      </c>
      <c r="AF259" s="1">
        <v>1</v>
      </c>
      <c r="AG259" s="1">
        <v>2</v>
      </c>
    </row>
    <row r="260" spans="1:33" ht="15" x14ac:dyDescent="0.3">
      <c r="A260" s="1" t="s">
        <v>342</v>
      </c>
      <c r="B260" s="1" t="s">
        <v>323</v>
      </c>
      <c r="C260" s="1">
        <v>0</v>
      </c>
      <c r="D260" s="1">
        <v>0</v>
      </c>
      <c r="E260" s="1">
        <v>0</v>
      </c>
      <c r="F260" s="1">
        <v>0</v>
      </c>
      <c r="G260" s="1">
        <v>3</v>
      </c>
      <c r="H260" s="1">
        <v>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>
        <v>1</v>
      </c>
      <c r="Q260" s="1">
        <v>0</v>
      </c>
      <c r="R260" s="1">
        <v>0</v>
      </c>
      <c r="S260" s="1">
        <v>0</v>
      </c>
      <c r="T260" s="1">
        <v>1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</row>
    <row r="261" spans="1:33" ht="15" x14ac:dyDescent="0.3">
      <c r="A261" s="1" t="s">
        <v>23</v>
      </c>
      <c r="B261" s="1" t="s">
        <v>23</v>
      </c>
      <c r="C261" s="3">
        <v>5</v>
      </c>
      <c r="D261" s="3">
        <v>3</v>
      </c>
      <c r="E261" s="3">
        <v>7</v>
      </c>
      <c r="F261" s="4">
        <v>4</v>
      </c>
      <c r="G261" s="4">
        <v>13</v>
      </c>
      <c r="H261" s="4">
        <v>7</v>
      </c>
      <c r="I261" s="4">
        <v>13</v>
      </c>
      <c r="J261" s="4">
        <v>13</v>
      </c>
      <c r="K261" s="4">
        <v>35</v>
      </c>
      <c r="L261" s="4">
        <v>11</v>
      </c>
      <c r="M261" s="4">
        <v>23</v>
      </c>
      <c r="N261" s="4">
        <v>34</v>
      </c>
      <c r="O261" s="4">
        <v>13</v>
      </c>
      <c r="P261" s="4">
        <v>21</v>
      </c>
      <c r="Q261" s="4">
        <v>16</v>
      </c>
      <c r="R261" s="4">
        <v>24</v>
      </c>
      <c r="S261" s="4">
        <v>14</v>
      </c>
      <c r="T261" s="4">
        <v>20</v>
      </c>
      <c r="U261" s="4">
        <v>9</v>
      </c>
      <c r="V261" s="4">
        <v>7</v>
      </c>
      <c r="W261" s="4">
        <v>6</v>
      </c>
      <c r="X261" s="4">
        <v>4</v>
      </c>
      <c r="Y261" s="4">
        <v>8</v>
      </c>
      <c r="Z261" s="4">
        <v>4</v>
      </c>
      <c r="AA261" s="4">
        <v>3</v>
      </c>
      <c r="AB261" s="4">
        <v>8</v>
      </c>
      <c r="AC261" s="4">
        <v>2</v>
      </c>
      <c r="AD261" s="4">
        <v>4</v>
      </c>
      <c r="AE261" s="4">
        <v>1</v>
      </c>
      <c r="AF261" s="3">
        <v>0</v>
      </c>
      <c r="AG261" s="4">
        <v>1</v>
      </c>
    </row>
    <row r="262" spans="1:33" ht="15" x14ac:dyDescent="0.3">
      <c r="A262" s="1" t="s">
        <v>349</v>
      </c>
      <c r="B262" s="1" t="s">
        <v>209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1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</row>
    <row r="263" spans="1:33" ht="15" x14ac:dyDescent="0.3">
      <c r="A263" s="1" t="s">
        <v>349</v>
      </c>
      <c r="B263" s="1" t="s">
        <v>210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2</v>
      </c>
      <c r="K263" s="1">
        <v>1</v>
      </c>
      <c r="L263" s="1">
        <v>0</v>
      </c>
      <c r="M263" s="1">
        <v>2</v>
      </c>
      <c r="N263" s="1">
        <v>4</v>
      </c>
      <c r="O263" s="1">
        <v>1</v>
      </c>
      <c r="P263" s="1">
        <v>1</v>
      </c>
      <c r="Q263" s="1">
        <v>3</v>
      </c>
      <c r="R263" s="1">
        <v>0</v>
      </c>
      <c r="S263" s="1">
        <v>1</v>
      </c>
      <c r="T263" s="1">
        <v>1</v>
      </c>
      <c r="U263" s="1">
        <v>0</v>
      </c>
      <c r="V263" s="1">
        <v>0</v>
      </c>
      <c r="W263" s="1">
        <v>0</v>
      </c>
      <c r="X263" s="1">
        <v>1</v>
      </c>
      <c r="Y263" s="1">
        <v>2</v>
      </c>
      <c r="Z263" s="1">
        <v>1</v>
      </c>
      <c r="AA263" s="1">
        <v>0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</row>
    <row r="264" spans="1:33" ht="15" x14ac:dyDescent="0.3">
      <c r="A264" s="1" t="s">
        <v>349</v>
      </c>
      <c r="B264" s="1" t="s">
        <v>211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1</v>
      </c>
      <c r="K264" s="1">
        <v>0</v>
      </c>
      <c r="L264" s="1">
        <v>0</v>
      </c>
      <c r="M264" s="1">
        <v>1</v>
      </c>
      <c r="N264" s="1">
        <v>2</v>
      </c>
      <c r="O264" s="1">
        <v>0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2</v>
      </c>
      <c r="V264" s="1">
        <v>0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  <c r="AB264" s="1">
        <v>1</v>
      </c>
      <c r="AC264" s="1">
        <v>2</v>
      </c>
      <c r="AD264" s="1">
        <v>0</v>
      </c>
      <c r="AE264" s="1">
        <v>0</v>
      </c>
      <c r="AF264" s="1">
        <v>0</v>
      </c>
      <c r="AG264" s="1">
        <v>0</v>
      </c>
    </row>
    <row r="265" spans="1:33" ht="15" x14ac:dyDescent="0.3">
      <c r="A265" s="1" t="s">
        <v>349</v>
      </c>
      <c r="B265" s="1" t="s">
        <v>212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2</v>
      </c>
      <c r="I265" s="1">
        <v>0</v>
      </c>
      <c r="J265" s="1">
        <v>2</v>
      </c>
      <c r="K265" s="1">
        <v>1</v>
      </c>
      <c r="L265" s="1">
        <v>4</v>
      </c>
      <c r="M265" s="1">
        <v>2</v>
      </c>
      <c r="N265" s="1">
        <v>5</v>
      </c>
      <c r="O265" s="1">
        <v>7</v>
      </c>
      <c r="P265" s="1">
        <v>3</v>
      </c>
      <c r="Q265" s="1">
        <v>2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  <c r="AE265" s="1">
        <v>3</v>
      </c>
      <c r="AF265" s="1">
        <v>0</v>
      </c>
      <c r="AG265" s="1">
        <v>0</v>
      </c>
    </row>
    <row r="266" spans="1:33" ht="15" x14ac:dyDescent="0.3">
      <c r="A266" s="1" t="s">
        <v>349</v>
      </c>
      <c r="B266" s="1" t="s">
        <v>213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1</v>
      </c>
      <c r="L266" s="1">
        <v>3</v>
      </c>
      <c r="M266" s="1">
        <v>2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1</v>
      </c>
      <c r="AA266" s="1">
        <v>0</v>
      </c>
      <c r="AB266" s="1">
        <v>0</v>
      </c>
      <c r="AC266" s="1">
        <v>0</v>
      </c>
      <c r="AD266" s="1">
        <v>0</v>
      </c>
      <c r="AE266" s="1">
        <v>1</v>
      </c>
      <c r="AF266" s="1">
        <v>0</v>
      </c>
      <c r="AG266" s="1">
        <v>0</v>
      </c>
    </row>
    <row r="267" spans="1:33" ht="15" x14ac:dyDescent="0.3">
      <c r="A267" s="1" t="s">
        <v>349</v>
      </c>
      <c r="B267" s="1" t="s">
        <v>214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2</v>
      </c>
      <c r="L267" s="1">
        <v>2</v>
      </c>
      <c r="M267" s="1">
        <v>1</v>
      </c>
      <c r="N267" s="1">
        <v>3</v>
      </c>
      <c r="O267" s="1">
        <v>0</v>
      </c>
      <c r="P267" s="1">
        <v>4</v>
      </c>
      <c r="Q267" s="1">
        <v>0</v>
      </c>
      <c r="R267" s="1">
        <v>3</v>
      </c>
      <c r="S267" s="1">
        <v>4</v>
      </c>
      <c r="T267" s="1">
        <v>1</v>
      </c>
      <c r="U267" s="1">
        <v>1</v>
      </c>
      <c r="V267" s="1">
        <v>0</v>
      </c>
      <c r="W267" s="1">
        <v>1</v>
      </c>
      <c r="X267" s="1">
        <v>0</v>
      </c>
      <c r="Y267" s="1">
        <v>0</v>
      </c>
      <c r="Z267" s="1">
        <v>0</v>
      </c>
      <c r="AA267" s="1">
        <v>2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</row>
    <row r="268" spans="1:33" ht="15" x14ac:dyDescent="0.3">
      <c r="A268" s="1" t="s">
        <v>349</v>
      </c>
      <c r="B268" s="1" t="s">
        <v>215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  <c r="L268" s="1">
        <v>2</v>
      </c>
      <c r="M268" s="1">
        <v>-1</v>
      </c>
      <c r="N268" s="1">
        <v>0</v>
      </c>
      <c r="O268" s="1">
        <v>3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</row>
    <row r="269" spans="1:33" ht="15" x14ac:dyDescent="0.3">
      <c r="A269" s="1" t="s">
        <v>349</v>
      </c>
      <c r="B269" s="1" t="s">
        <v>216</v>
      </c>
      <c r="C269" s="1">
        <v>0</v>
      </c>
      <c r="D269" s="1">
        <v>1</v>
      </c>
      <c r="E269" s="1">
        <v>0</v>
      </c>
      <c r="F269" s="1">
        <v>1</v>
      </c>
      <c r="G269" s="1">
        <v>0</v>
      </c>
      <c r="H269" s="1">
        <v>0</v>
      </c>
      <c r="I269" s="1">
        <v>4</v>
      </c>
      <c r="J269" s="1">
        <v>1</v>
      </c>
      <c r="K269" s="1">
        <v>0</v>
      </c>
      <c r="L269" s="1">
        <v>2</v>
      </c>
      <c r="M269" s="1">
        <v>4</v>
      </c>
      <c r="N269" s="1">
        <v>3</v>
      </c>
      <c r="O269" s="1">
        <v>4</v>
      </c>
      <c r="P269" s="1">
        <v>1</v>
      </c>
      <c r="Q269" s="1">
        <v>3</v>
      </c>
      <c r="R269" s="1">
        <v>0</v>
      </c>
      <c r="S269" s="1">
        <v>0</v>
      </c>
      <c r="T269" s="1">
        <v>3</v>
      </c>
      <c r="U269" s="1">
        <v>1</v>
      </c>
      <c r="V269" s="1">
        <v>0</v>
      </c>
      <c r="W269" s="1">
        <v>0</v>
      </c>
      <c r="X269" s="1">
        <v>2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</row>
    <row r="270" spans="1:33" ht="15" x14ac:dyDescent="0.3">
      <c r="A270" s="1" t="s">
        <v>349</v>
      </c>
      <c r="B270" s="1" t="s">
        <v>217</v>
      </c>
      <c r="C270" s="1">
        <v>0</v>
      </c>
      <c r="D270" s="1">
        <v>0</v>
      </c>
      <c r="E270" s="1">
        <v>0</v>
      </c>
      <c r="F270" s="1">
        <v>1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1</v>
      </c>
      <c r="M270" s="1">
        <v>4</v>
      </c>
      <c r="N270" s="1">
        <v>0</v>
      </c>
      <c r="O270" s="1">
        <v>3</v>
      </c>
      <c r="P270" s="1">
        <v>0</v>
      </c>
      <c r="Q270" s="1">
        <v>2</v>
      </c>
      <c r="R270" s="1">
        <v>0</v>
      </c>
      <c r="S270" s="1">
        <v>0</v>
      </c>
      <c r="T270" s="1">
        <v>0</v>
      </c>
      <c r="U270" s="1">
        <v>1</v>
      </c>
      <c r="V270" s="1">
        <v>3</v>
      </c>
      <c r="W270" s="1">
        <v>0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</row>
    <row r="271" spans="1:33" ht="15" x14ac:dyDescent="0.3">
      <c r="A271" s="1" t="s">
        <v>349</v>
      </c>
      <c r="B271" s="1" t="s">
        <v>218</v>
      </c>
      <c r="C271" s="1">
        <v>0</v>
      </c>
      <c r="D271" s="1">
        <v>2</v>
      </c>
      <c r="E271" s="1">
        <v>2</v>
      </c>
      <c r="F271" s="1">
        <v>3</v>
      </c>
      <c r="G271" s="1">
        <v>9</v>
      </c>
      <c r="H271" s="1">
        <v>6</v>
      </c>
      <c r="I271" s="1">
        <v>11</v>
      </c>
      <c r="J271" s="1">
        <v>4</v>
      </c>
      <c r="K271" s="1">
        <v>9</v>
      </c>
      <c r="L271" s="1">
        <v>13</v>
      </c>
      <c r="M271" s="1">
        <v>10</v>
      </c>
      <c r="N271" s="1">
        <v>3</v>
      </c>
      <c r="O271" s="1">
        <v>1</v>
      </c>
      <c r="P271" s="1">
        <v>4</v>
      </c>
      <c r="Q271" s="1">
        <v>9</v>
      </c>
      <c r="R271" s="1">
        <v>5</v>
      </c>
      <c r="S271" s="1">
        <v>5</v>
      </c>
      <c r="T271" s="1">
        <v>5</v>
      </c>
      <c r="U271" s="1">
        <v>7</v>
      </c>
      <c r="V271" s="1">
        <v>11</v>
      </c>
      <c r="W271" s="1">
        <v>3</v>
      </c>
      <c r="X271" s="1">
        <v>1</v>
      </c>
      <c r="Y271" s="1">
        <v>1</v>
      </c>
      <c r="Z271" s="1">
        <v>6</v>
      </c>
      <c r="AA271" s="1">
        <v>4</v>
      </c>
      <c r="AB271" s="1">
        <v>4</v>
      </c>
      <c r="AC271" s="1">
        <v>1</v>
      </c>
      <c r="AD271" s="1">
        <v>0</v>
      </c>
      <c r="AE271" s="1">
        <v>0</v>
      </c>
      <c r="AF271" s="1">
        <v>1</v>
      </c>
      <c r="AG271" s="1">
        <v>0</v>
      </c>
    </row>
    <row r="272" spans="1:33" ht="15" x14ac:dyDescent="0.3">
      <c r="A272" s="1" t="s">
        <v>349</v>
      </c>
      <c r="B272" s="1" t="s">
        <v>219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1</v>
      </c>
      <c r="N272" s="1">
        <v>6</v>
      </c>
      <c r="O272" s="1">
        <v>2</v>
      </c>
      <c r="P272" s="1">
        <v>1</v>
      </c>
      <c r="Q272" s="1">
        <v>0</v>
      </c>
      <c r="R272" s="1">
        <v>1</v>
      </c>
      <c r="S272" s="1">
        <v>0</v>
      </c>
      <c r="T272" s="1">
        <v>0</v>
      </c>
      <c r="U272" s="1">
        <v>1</v>
      </c>
      <c r="V272" s="1">
        <v>1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3</v>
      </c>
      <c r="AF272" s="1">
        <v>0</v>
      </c>
      <c r="AG272" s="1">
        <v>0</v>
      </c>
    </row>
    <row r="273" spans="1:33" ht="15" x14ac:dyDescent="0.3">
      <c r="A273" s="1" t="s">
        <v>349</v>
      </c>
      <c r="B273" s="1" t="s">
        <v>220</v>
      </c>
      <c r="C273" s="1">
        <v>0</v>
      </c>
      <c r="D273" s="1">
        <v>0</v>
      </c>
      <c r="E273" s="1">
        <v>0</v>
      </c>
      <c r="F273" s="1">
        <v>0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0</v>
      </c>
      <c r="M273" s="1">
        <v>0</v>
      </c>
      <c r="N273" s="1">
        <v>0</v>
      </c>
      <c r="O273" s="1">
        <v>1</v>
      </c>
      <c r="P273" s="1">
        <v>1</v>
      </c>
      <c r="Q273" s="1">
        <v>2</v>
      </c>
      <c r="R273" s="1">
        <v>1</v>
      </c>
      <c r="S273" s="1">
        <v>2</v>
      </c>
      <c r="T273" s="1">
        <v>1</v>
      </c>
      <c r="U273" s="1">
        <v>0</v>
      </c>
      <c r="V273" s="1">
        <v>3</v>
      </c>
      <c r="W273" s="1">
        <v>1</v>
      </c>
      <c r="X273" s="1">
        <v>1</v>
      </c>
      <c r="Y273" s="1">
        <v>1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4</v>
      </c>
    </row>
    <row r="274" spans="1:33" ht="15" x14ac:dyDescent="0.3">
      <c r="A274" s="1" t="s">
        <v>349</v>
      </c>
      <c r="B274" s="1" t="s">
        <v>221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2</v>
      </c>
      <c r="I274" s="1">
        <v>0</v>
      </c>
      <c r="J274" s="1">
        <v>1</v>
      </c>
      <c r="K274" s="1">
        <v>0</v>
      </c>
      <c r="L274" s="1">
        <v>2</v>
      </c>
      <c r="M274" s="1">
        <v>0</v>
      </c>
      <c r="N274" s="1">
        <v>0</v>
      </c>
      <c r="O274" s="1">
        <v>0</v>
      </c>
      <c r="P274" s="1">
        <v>1</v>
      </c>
      <c r="Q274" s="1">
        <v>2</v>
      </c>
      <c r="R274" s="1">
        <v>2</v>
      </c>
      <c r="S274" s="1">
        <v>2</v>
      </c>
      <c r="T274" s="1">
        <v>5</v>
      </c>
      <c r="U274" s="1">
        <v>0</v>
      </c>
      <c r="V274" s="1">
        <v>0</v>
      </c>
      <c r="W274" s="1">
        <v>6</v>
      </c>
      <c r="X274" s="1">
        <v>4</v>
      </c>
      <c r="Y274" s="1">
        <v>9</v>
      </c>
      <c r="Z274" s="1">
        <v>1</v>
      </c>
      <c r="AA274" s="1">
        <v>6</v>
      </c>
      <c r="AB274" s="1">
        <v>1</v>
      </c>
      <c r="AC274" s="1">
        <v>6</v>
      </c>
      <c r="AD274" s="1">
        <v>7</v>
      </c>
      <c r="AE274" s="1">
        <v>5</v>
      </c>
      <c r="AF274" s="1">
        <v>3</v>
      </c>
      <c r="AG274" s="1">
        <v>2</v>
      </c>
    </row>
    <row r="275" spans="1:33" ht="15" x14ac:dyDescent="0.3">
      <c r="A275" s="1" t="s">
        <v>349</v>
      </c>
      <c r="B275" s="1" t="s">
        <v>222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0</v>
      </c>
      <c r="O275" s="1">
        <v>0</v>
      </c>
      <c r="P275" s="1">
        <v>1</v>
      </c>
      <c r="Q275" s="1">
        <v>2</v>
      </c>
      <c r="R275" s="1">
        <v>0</v>
      </c>
      <c r="S275" s="1">
        <v>0</v>
      </c>
      <c r="T275" s="1">
        <v>0</v>
      </c>
      <c r="U275" s="1">
        <v>1</v>
      </c>
      <c r="V275" s="1">
        <v>1</v>
      </c>
      <c r="W275" s="1">
        <v>0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</row>
    <row r="276" spans="1:33" ht="15" x14ac:dyDescent="0.3">
      <c r="A276" s="1" t="s">
        <v>349</v>
      </c>
      <c r="B276" s="1" t="s">
        <v>223</v>
      </c>
      <c r="C276" s="1">
        <v>0</v>
      </c>
      <c r="D276" s="1">
        <v>2</v>
      </c>
      <c r="E276" s="1">
        <v>0</v>
      </c>
      <c r="F276" s="1">
        <v>0</v>
      </c>
      <c r="G276" s="1">
        <v>0</v>
      </c>
      <c r="H276" s="1">
        <v>3</v>
      </c>
      <c r="I276" s="1">
        <v>2</v>
      </c>
      <c r="J276" s="1">
        <v>1</v>
      </c>
      <c r="K276" s="1">
        <v>0</v>
      </c>
      <c r="L276" s="1">
        <v>1</v>
      </c>
      <c r="M276" s="1">
        <v>2</v>
      </c>
      <c r="N276" s="1">
        <v>1</v>
      </c>
      <c r="O276" s="1">
        <v>2</v>
      </c>
      <c r="P276" s="1">
        <v>3</v>
      </c>
      <c r="Q276" s="1">
        <v>0</v>
      </c>
      <c r="R276" s="1">
        <v>0</v>
      </c>
      <c r="S276" s="1">
        <v>1</v>
      </c>
      <c r="T276" s="1">
        <v>1</v>
      </c>
      <c r="U276" s="1">
        <v>1</v>
      </c>
      <c r="V276" s="1">
        <v>0</v>
      </c>
      <c r="W276" s="1">
        <v>1</v>
      </c>
      <c r="X276" s="1">
        <v>0</v>
      </c>
      <c r="Y276" s="1">
        <v>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</row>
    <row r="277" spans="1:33" ht="15" x14ac:dyDescent="0.3">
      <c r="A277" s="1" t="s">
        <v>349</v>
      </c>
      <c r="B277" s="1" t="s">
        <v>224</v>
      </c>
      <c r="C277" s="1">
        <v>0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1</v>
      </c>
      <c r="J277" s="1">
        <v>5</v>
      </c>
      <c r="K277" s="1">
        <v>0</v>
      </c>
      <c r="L277" s="1">
        <v>0</v>
      </c>
      <c r="M277" s="1">
        <v>2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</row>
    <row r="278" spans="1:33" ht="15" x14ac:dyDescent="0.3">
      <c r="A278" s="1" t="s">
        <v>349</v>
      </c>
      <c r="B278" s="1" t="s">
        <v>225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2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</row>
    <row r="279" spans="1:33" ht="15" x14ac:dyDescent="0.3">
      <c r="A279" s="1" t="s">
        <v>349</v>
      </c>
      <c r="B279" s="1" t="s">
        <v>226</v>
      </c>
      <c r="C279" s="1">
        <v>0</v>
      </c>
      <c r="D279" s="1">
        <v>0</v>
      </c>
      <c r="E279" s="1">
        <v>1</v>
      </c>
      <c r="F279" s="1">
        <v>0</v>
      </c>
      <c r="G279" s="1">
        <v>0</v>
      </c>
      <c r="H279" s="1">
        <v>0</v>
      </c>
      <c r="I279" s="1">
        <v>2</v>
      </c>
      <c r="J279" s="1">
        <v>0</v>
      </c>
      <c r="K279" s="1">
        <v>1</v>
      </c>
      <c r="L279" s="1">
        <v>2</v>
      </c>
      <c r="M279" s="1">
        <v>2</v>
      </c>
      <c r="N279" s="1">
        <v>1</v>
      </c>
      <c r="O279" s="1">
        <v>0</v>
      </c>
      <c r="P279" s="1">
        <v>2</v>
      </c>
      <c r="Q279" s="1">
        <v>2</v>
      </c>
      <c r="R279" s="1">
        <v>4</v>
      </c>
      <c r="S279" s="1">
        <v>3</v>
      </c>
      <c r="T279" s="1">
        <v>3</v>
      </c>
      <c r="U279" s="1">
        <v>2</v>
      </c>
      <c r="V279" s="1">
        <v>0</v>
      </c>
      <c r="W279" s="1">
        <v>3</v>
      </c>
      <c r="X279" s="1">
        <v>2</v>
      </c>
      <c r="Y279" s="1">
        <v>3</v>
      </c>
      <c r="Z279" s="1">
        <v>3</v>
      </c>
      <c r="AA279" s="1">
        <v>0</v>
      </c>
      <c r="AB279" s="1">
        <v>0</v>
      </c>
      <c r="AC279" s="1">
        <v>0</v>
      </c>
      <c r="AD279" s="1">
        <v>2</v>
      </c>
      <c r="AE279" s="1">
        <v>1</v>
      </c>
      <c r="AF279" s="1">
        <v>1</v>
      </c>
      <c r="AG279" s="1">
        <v>0</v>
      </c>
    </row>
    <row r="280" spans="1:33" ht="15" x14ac:dyDescent="0.3">
      <c r="A280" s="1" t="s">
        <v>349</v>
      </c>
      <c r="B280" s="1" t="s">
        <v>227</v>
      </c>
      <c r="C280" s="1">
        <v>0</v>
      </c>
      <c r="D280" s="1">
        <v>0</v>
      </c>
      <c r="E280" s="1">
        <v>0</v>
      </c>
      <c r="F280" s="1">
        <v>1</v>
      </c>
      <c r="G280" s="1">
        <v>1</v>
      </c>
      <c r="H280" s="1">
        <v>0</v>
      </c>
      <c r="I280" s="1">
        <v>0</v>
      </c>
      <c r="J280" s="1">
        <v>1</v>
      </c>
      <c r="K280" s="1">
        <v>0</v>
      </c>
      <c r="L280" s="1">
        <v>1</v>
      </c>
      <c r="M280" s="1">
        <v>1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2</v>
      </c>
      <c r="W280" s="1">
        <v>2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2</v>
      </c>
      <c r="AD280" s="1">
        <v>5</v>
      </c>
      <c r="AE280" s="1">
        <v>0</v>
      </c>
      <c r="AF280" s="1">
        <v>0</v>
      </c>
      <c r="AG280" s="1">
        <v>0</v>
      </c>
    </row>
    <row r="281" spans="1:33" ht="15" x14ac:dyDescent="0.3">
      <c r="A281" s="1" t="s">
        <v>349</v>
      </c>
      <c r="B281" s="1" t="s">
        <v>228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</row>
    <row r="282" spans="1:33" ht="15" x14ac:dyDescent="0.3">
      <c r="A282" s="1" t="s">
        <v>349</v>
      </c>
      <c r="B282" s="1" t="s">
        <v>229</v>
      </c>
      <c r="C282" s="1">
        <v>0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0</v>
      </c>
      <c r="J282" s="1">
        <v>1</v>
      </c>
      <c r="K282" s="1">
        <v>0</v>
      </c>
      <c r="L282" s="1">
        <v>0</v>
      </c>
      <c r="M282" s="1">
        <v>1</v>
      </c>
      <c r="N282" s="1">
        <v>2</v>
      </c>
      <c r="O282" s="1">
        <v>0</v>
      </c>
      <c r="P282" s="1">
        <v>0</v>
      </c>
      <c r="Q282" s="1">
        <v>0</v>
      </c>
      <c r="R282" s="1">
        <v>1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1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</row>
    <row r="283" spans="1:33" ht="15" x14ac:dyDescent="0.3">
      <c r="A283" s="1" t="s">
        <v>25</v>
      </c>
      <c r="B283" s="1" t="s">
        <v>25</v>
      </c>
      <c r="C283" s="3">
        <v>0</v>
      </c>
      <c r="D283" s="3">
        <v>0</v>
      </c>
      <c r="E283" s="3">
        <v>0</v>
      </c>
      <c r="F283" s="4">
        <v>0</v>
      </c>
      <c r="G283" s="4">
        <v>10</v>
      </c>
      <c r="H283" s="4">
        <v>4</v>
      </c>
      <c r="I283" s="4">
        <v>9</v>
      </c>
      <c r="J283" s="4">
        <v>1</v>
      </c>
      <c r="K283" s="4">
        <v>3</v>
      </c>
      <c r="L283" s="4">
        <v>4</v>
      </c>
      <c r="M283" s="4">
        <v>1</v>
      </c>
      <c r="N283" s="4">
        <v>6</v>
      </c>
      <c r="O283" s="4">
        <v>10</v>
      </c>
      <c r="P283" s="4">
        <v>12</v>
      </c>
      <c r="Q283" s="4">
        <v>7</v>
      </c>
      <c r="R283" s="4">
        <v>2</v>
      </c>
      <c r="S283" s="4">
        <v>9</v>
      </c>
      <c r="T283" s="4">
        <v>3</v>
      </c>
      <c r="U283" s="4">
        <v>7</v>
      </c>
      <c r="V283" s="4">
        <v>3</v>
      </c>
      <c r="W283" s="4">
        <v>4</v>
      </c>
      <c r="X283" s="4">
        <v>10</v>
      </c>
      <c r="Y283" s="4">
        <v>7</v>
      </c>
      <c r="Z283" s="4">
        <v>5</v>
      </c>
      <c r="AA283" s="4">
        <v>3</v>
      </c>
      <c r="AB283" s="4">
        <v>2</v>
      </c>
      <c r="AC283" s="4">
        <v>2</v>
      </c>
      <c r="AD283" s="4">
        <v>1</v>
      </c>
      <c r="AE283" s="4">
        <v>3</v>
      </c>
      <c r="AF283" s="3">
        <v>2</v>
      </c>
      <c r="AG283" s="4">
        <v>1</v>
      </c>
    </row>
    <row r="284" spans="1:33" ht="15" x14ac:dyDescent="0.3">
      <c r="A284" s="1" t="s">
        <v>70</v>
      </c>
      <c r="B284" s="1" t="s">
        <v>71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</row>
    <row r="285" spans="1:33" ht="15" x14ac:dyDescent="0.3">
      <c r="A285" s="1" t="s">
        <v>351</v>
      </c>
      <c r="B285" s="1" t="s">
        <v>190</v>
      </c>
      <c r="C285" s="1">
        <v>0</v>
      </c>
      <c r="D285" s="1">
        <v>0</v>
      </c>
      <c r="E285" s="1">
        <v>2</v>
      </c>
      <c r="F285" s="1">
        <v>0</v>
      </c>
      <c r="G285" s="1">
        <v>1</v>
      </c>
      <c r="H285" s="1">
        <v>0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0</v>
      </c>
      <c r="O285" s="1">
        <v>0</v>
      </c>
      <c r="P285" s="1">
        <v>2</v>
      </c>
      <c r="Q285" s="1">
        <v>2</v>
      </c>
      <c r="R285" s="1">
        <v>0</v>
      </c>
      <c r="S285" s="1">
        <v>3</v>
      </c>
      <c r="T285" s="1">
        <v>3</v>
      </c>
      <c r="U285" s="1">
        <v>1</v>
      </c>
      <c r="V285" s="1">
        <v>1</v>
      </c>
      <c r="W285" s="1">
        <v>0</v>
      </c>
      <c r="X285" s="1">
        <v>0</v>
      </c>
      <c r="Y285" s="1">
        <v>0</v>
      </c>
      <c r="Z285" s="1">
        <v>1</v>
      </c>
      <c r="AA285" s="1">
        <v>2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</row>
    <row r="286" spans="1:33" ht="15" x14ac:dyDescent="0.3">
      <c r="A286" s="1" t="s">
        <v>351</v>
      </c>
      <c r="B286" s="1" t="s">
        <v>191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0</v>
      </c>
      <c r="J286" s="1">
        <v>1</v>
      </c>
      <c r="K286" s="1">
        <v>2</v>
      </c>
      <c r="L286" s="1">
        <v>0</v>
      </c>
      <c r="M286" s="1">
        <v>1</v>
      </c>
      <c r="N286" s="1">
        <v>0</v>
      </c>
      <c r="O286" s="1">
        <v>0</v>
      </c>
      <c r="P286" s="1">
        <v>1</v>
      </c>
      <c r="Q286" s="1">
        <v>1</v>
      </c>
      <c r="R286" s="1">
        <v>2</v>
      </c>
      <c r="S286" s="1">
        <v>0</v>
      </c>
      <c r="T286" s="1">
        <v>0</v>
      </c>
      <c r="U286" s="1">
        <v>1</v>
      </c>
      <c r="V286" s="1">
        <v>1</v>
      </c>
      <c r="W286" s="1">
        <v>3</v>
      </c>
      <c r="X286" s="1">
        <v>4</v>
      </c>
      <c r="Y286" s="1">
        <v>4</v>
      </c>
      <c r="Z286" s="1">
        <v>3</v>
      </c>
      <c r="AA286" s="1">
        <v>0</v>
      </c>
      <c r="AB286" s="1">
        <v>2</v>
      </c>
      <c r="AC286" s="1">
        <v>0</v>
      </c>
      <c r="AD286" s="1">
        <v>4</v>
      </c>
      <c r="AE286" s="1">
        <v>0</v>
      </c>
      <c r="AF286" s="1">
        <v>0</v>
      </c>
      <c r="AG286" s="1">
        <v>0</v>
      </c>
    </row>
    <row r="287" spans="1:33" ht="15" x14ac:dyDescent="0.3">
      <c r="A287" s="1" t="s">
        <v>351</v>
      </c>
      <c r="B287" s="1" t="s">
        <v>13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</v>
      </c>
      <c r="AC287" s="1">
        <v>1</v>
      </c>
      <c r="AD287" s="1">
        <v>0</v>
      </c>
      <c r="AE287" s="1">
        <v>0</v>
      </c>
      <c r="AF287" s="1">
        <v>0</v>
      </c>
      <c r="AG287" s="1">
        <v>0</v>
      </c>
    </row>
    <row r="288" spans="1:33" ht="15" x14ac:dyDescent="0.3">
      <c r="A288" s="1" t="s">
        <v>351</v>
      </c>
      <c r="B288" s="1" t="s">
        <v>192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3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</row>
    <row r="289" spans="1:33" ht="15" x14ac:dyDescent="0.3">
      <c r="A289" s="1" t="s">
        <v>351</v>
      </c>
      <c r="B289" s="1" t="s">
        <v>193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1</v>
      </c>
      <c r="T289" s="1">
        <v>0</v>
      </c>
      <c r="U289" s="1">
        <v>1</v>
      </c>
      <c r="V289" s="1">
        <v>1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</row>
    <row r="290" spans="1:33" ht="15" x14ac:dyDescent="0.3">
      <c r="A290" s="1" t="s">
        <v>351</v>
      </c>
      <c r="B290" s="1" t="s">
        <v>194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2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1</v>
      </c>
      <c r="Y290" s="1">
        <v>0</v>
      </c>
      <c r="Z290" s="1">
        <v>0</v>
      </c>
      <c r="AA290" s="1">
        <v>0</v>
      </c>
      <c r="AB290" s="1">
        <v>1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</row>
    <row r="291" spans="1:33" ht="15" x14ac:dyDescent="0.3">
      <c r="A291" s="1" t="s">
        <v>351</v>
      </c>
      <c r="B291" s="1" t="s">
        <v>14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  <c r="AB291" s="1">
        <v>1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</row>
    <row r="292" spans="1:33" ht="15" x14ac:dyDescent="0.3">
      <c r="A292" s="1" t="s">
        <v>351</v>
      </c>
      <c r="B292" s="1" t="s">
        <v>15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</row>
    <row r="293" spans="1:33" ht="15" x14ac:dyDescent="0.3">
      <c r="A293" s="1" t="s">
        <v>350</v>
      </c>
      <c r="B293" s="1" t="s">
        <v>195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</row>
    <row r="294" spans="1:33" ht="15" x14ac:dyDescent="0.3">
      <c r="A294" s="1" t="s">
        <v>350</v>
      </c>
      <c r="B294" s="1" t="s">
        <v>196</v>
      </c>
      <c r="C294" s="1">
        <v>0</v>
      </c>
      <c r="D294" s="1">
        <v>0</v>
      </c>
      <c r="E294" s="1">
        <v>0</v>
      </c>
      <c r="F294" s="1">
        <v>1</v>
      </c>
      <c r="G294" s="1">
        <v>1</v>
      </c>
      <c r="H294" s="1">
        <v>0</v>
      </c>
      <c r="I294" s="1">
        <v>3</v>
      </c>
      <c r="J294" s="1">
        <v>1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</row>
    <row r="295" spans="1:33" ht="15" x14ac:dyDescent="0.3">
      <c r="A295" s="1" t="s">
        <v>350</v>
      </c>
      <c r="B295" s="1" t="s">
        <v>197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3</v>
      </c>
      <c r="J295" s="1">
        <v>1</v>
      </c>
      <c r="K295" s="1">
        <v>0</v>
      </c>
      <c r="L295" s="1">
        <v>2</v>
      </c>
      <c r="M295" s="1">
        <v>0</v>
      </c>
      <c r="N295" s="1">
        <v>1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1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</row>
    <row r="296" spans="1:33" ht="15" x14ac:dyDescent="0.3">
      <c r="A296" s="1" t="s">
        <v>350</v>
      </c>
      <c r="B296" s="1" t="s">
        <v>198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1</v>
      </c>
      <c r="J296" s="1">
        <v>1</v>
      </c>
      <c r="K296" s="1">
        <v>0</v>
      </c>
      <c r="L296" s="1">
        <v>1</v>
      </c>
      <c r="M296" s="1">
        <v>2</v>
      </c>
      <c r="N296" s="1">
        <v>0</v>
      </c>
      <c r="O296" s="1">
        <v>1</v>
      </c>
      <c r="P296" s="1">
        <v>0</v>
      </c>
      <c r="Q296" s="1">
        <v>0</v>
      </c>
      <c r="R296" s="1">
        <v>0</v>
      </c>
      <c r="S296" s="1">
        <v>3</v>
      </c>
      <c r="T296" s="1">
        <v>1</v>
      </c>
      <c r="U296" s="1">
        <v>0</v>
      </c>
      <c r="V296" s="1">
        <v>0</v>
      </c>
      <c r="W296" s="1">
        <v>2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</row>
    <row r="297" spans="1:33" ht="15" x14ac:dyDescent="0.3">
      <c r="A297" s="1" t="s">
        <v>350</v>
      </c>
      <c r="B297" s="1" t="s">
        <v>199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1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</row>
    <row r="298" spans="1:33" ht="15" x14ac:dyDescent="0.3">
      <c r="A298" s="1" t="s">
        <v>350</v>
      </c>
      <c r="B298" s="1" t="s">
        <v>200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</row>
    <row r="299" spans="1:33" ht="15" x14ac:dyDescent="0.3">
      <c r="A299" s="1" t="s">
        <v>350</v>
      </c>
      <c r="B299" s="1" t="s">
        <v>201</v>
      </c>
      <c r="C299" s="1">
        <v>0</v>
      </c>
      <c r="D299" s="1">
        <v>1</v>
      </c>
      <c r="E299" s="1">
        <v>1</v>
      </c>
      <c r="F299" s="1">
        <v>1</v>
      </c>
      <c r="G299" s="1">
        <v>1</v>
      </c>
      <c r="H299" s="1">
        <v>0</v>
      </c>
      <c r="I299" s="1">
        <v>3</v>
      </c>
      <c r="J299" s="1">
        <v>5</v>
      </c>
      <c r="K299" s="1">
        <v>3</v>
      </c>
      <c r="L299" s="1">
        <v>7</v>
      </c>
      <c r="M299" s="1">
        <v>2</v>
      </c>
      <c r="N299" s="1">
        <v>6</v>
      </c>
      <c r="O299" s="1">
        <v>1</v>
      </c>
      <c r="P299" s="1">
        <v>2</v>
      </c>
      <c r="Q299" s="1">
        <v>1</v>
      </c>
      <c r="R299" s="1">
        <v>1</v>
      </c>
      <c r="S299" s="1">
        <v>5</v>
      </c>
      <c r="T299" s="1">
        <v>1</v>
      </c>
      <c r="U299" s="1">
        <v>0</v>
      </c>
      <c r="V299" s="1">
        <v>1</v>
      </c>
      <c r="W299" s="1">
        <v>3</v>
      </c>
      <c r="X299" s="1">
        <v>1</v>
      </c>
      <c r="Y299" s="1">
        <v>0</v>
      </c>
      <c r="Z299" s="1">
        <v>2</v>
      </c>
      <c r="AA299" s="1">
        <v>0</v>
      </c>
      <c r="AB299" s="1">
        <v>0</v>
      </c>
      <c r="AC299" s="1">
        <v>3</v>
      </c>
      <c r="AD299" s="1">
        <v>0</v>
      </c>
      <c r="AE299" s="1">
        <v>1</v>
      </c>
      <c r="AF299" s="1">
        <v>1</v>
      </c>
      <c r="AG299" s="1">
        <v>0</v>
      </c>
    </row>
    <row r="300" spans="1:33" ht="15" x14ac:dyDescent="0.3">
      <c r="A300" s="1" t="s">
        <v>350</v>
      </c>
      <c r="B300" s="1" t="s">
        <v>202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1</v>
      </c>
      <c r="K300" s="1">
        <v>0</v>
      </c>
      <c r="L300" s="1">
        <v>2</v>
      </c>
      <c r="M300" s="1">
        <v>0</v>
      </c>
      <c r="N300" s="1">
        <v>2</v>
      </c>
      <c r="O300" s="1">
        <v>2</v>
      </c>
      <c r="P300" s="1">
        <v>1</v>
      </c>
      <c r="Q300" s="1">
        <v>0</v>
      </c>
      <c r="R300" s="1">
        <v>1</v>
      </c>
      <c r="S300" s="1">
        <v>0</v>
      </c>
      <c r="T300" s="1">
        <v>0</v>
      </c>
      <c r="U300" s="1">
        <v>0</v>
      </c>
      <c r="V300" s="1">
        <v>2</v>
      </c>
      <c r="W300" s="1">
        <v>0</v>
      </c>
      <c r="X300" s="1">
        <v>2</v>
      </c>
      <c r="Y300" s="1">
        <v>0</v>
      </c>
      <c r="Z300" s="1">
        <v>0</v>
      </c>
      <c r="AA300" s="1">
        <v>5</v>
      </c>
      <c r="AB300" s="1">
        <v>6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</row>
    <row r="301" spans="1:33" ht="15" x14ac:dyDescent="0.3">
      <c r="A301" s="1" t="s">
        <v>350</v>
      </c>
      <c r="B301" s="1" t="s">
        <v>203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3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</row>
    <row r="302" spans="1:33" ht="15" x14ac:dyDescent="0.3">
      <c r="A302" s="1" t="s">
        <v>350</v>
      </c>
      <c r="B302" s="1" t="s">
        <v>204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 s="1">
        <v>1</v>
      </c>
      <c r="J302" s="1">
        <v>0</v>
      </c>
      <c r="K302" s="1">
        <v>3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3</v>
      </c>
      <c r="R302" s="1">
        <v>1</v>
      </c>
      <c r="S302" s="1">
        <v>0</v>
      </c>
      <c r="T302" s="1">
        <v>0</v>
      </c>
      <c r="U302" s="1">
        <v>1</v>
      </c>
      <c r="V302" s="1">
        <v>0</v>
      </c>
      <c r="W302" s="1">
        <v>1</v>
      </c>
      <c r="X302" s="1">
        <v>1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</row>
    <row r="303" spans="1:33" ht="15" x14ac:dyDescent="0.3">
      <c r="A303" s="1" t="s">
        <v>350</v>
      </c>
      <c r="B303" s="1" t="s">
        <v>205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</v>
      </c>
      <c r="P303" s="1">
        <v>1</v>
      </c>
      <c r="Q303" s="1">
        <v>1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</row>
    <row r="304" spans="1:33" ht="15" x14ac:dyDescent="0.3">
      <c r="A304" s="1" t="s">
        <v>350</v>
      </c>
      <c r="B304" s="1" t="s">
        <v>206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4</v>
      </c>
      <c r="K304" s="1">
        <v>0</v>
      </c>
      <c r="L304" s="1">
        <v>1</v>
      </c>
      <c r="M304" s="1">
        <v>0</v>
      </c>
      <c r="N304" s="1">
        <v>1</v>
      </c>
      <c r="O304" s="1">
        <v>4</v>
      </c>
      <c r="P304" s="1">
        <v>1</v>
      </c>
      <c r="Q304" s="1">
        <v>0</v>
      </c>
      <c r="R304" s="1">
        <v>0</v>
      </c>
      <c r="S304" s="1">
        <v>1</v>
      </c>
      <c r="T304" s="1">
        <v>0</v>
      </c>
      <c r="U304" s="1">
        <v>1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</row>
    <row r="305" spans="1:33" ht="15" x14ac:dyDescent="0.3">
      <c r="A305" s="1" t="s">
        <v>350</v>
      </c>
      <c r="B305" s="1" t="s">
        <v>207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1</v>
      </c>
      <c r="J305" s="1">
        <v>0</v>
      </c>
      <c r="K305" s="1">
        <v>0</v>
      </c>
      <c r="L305" s="1">
        <v>2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0</v>
      </c>
      <c r="Y305" s="1">
        <v>1</v>
      </c>
      <c r="Z305" s="1">
        <v>0</v>
      </c>
      <c r="AA305" s="1">
        <v>1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</row>
    <row r="306" spans="1:33" ht="15" x14ac:dyDescent="0.3">
      <c r="A306" s="1" t="s">
        <v>350</v>
      </c>
      <c r="B306" s="1" t="s">
        <v>208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5</v>
      </c>
      <c r="K306" s="1">
        <v>4</v>
      </c>
      <c r="L306" s="1">
        <v>2</v>
      </c>
      <c r="M306" s="1">
        <v>0</v>
      </c>
      <c r="N306" s="1">
        <v>0</v>
      </c>
      <c r="O306" s="1">
        <v>0</v>
      </c>
      <c r="P306" s="1">
        <v>1</v>
      </c>
      <c r="Q306" s="1">
        <v>0</v>
      </c>
      <c r="R306" s="1">
        <v>2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</row>
    <row r="307" spans="1:33" ht="15" x14ac:dyDescent="0.3">
      <c r="A307" s="1" t="s">
        <v>27</v>
      </c>
      <c r="B307" s="1" t="s">
        <v>28</v>
      </c>
      <c r="C307" s="3">
        <v>0</v>
      </c>
      <c r="D307" s="3">
        <v>1</v>
      </c>
      <c r="E307" s="3">
        <v>5</v>
      </c>
      <c r="F307" s="4">
        <v>0</v>
      </c>
      <c r="G307" s="4">
        <v>6</v>
      </c>
      <c r="H307" s="4">
        <v>15</v>
      </c>
      <c r="I307" s="4">
        <v>0</v>
      </c>
      <c r="J307" s="4">
        <v>5</v>
      </c>
      <c r="K307" s="4">
        <v>19</v>
      </c>
      <c r="L307" s="4">
        <v>18</v>
      </c>
      <c r="M307" s="4">
        <v>16</v>
      </c>
      <c r="N307" s="4">
        <v>13</v>
      </c>
      <c r="O307" s="4">
        <v>12</v>
      </c>
      <c r="P307" s="4">
        <v>8</v>
      </c>
      <c r="Q307" s="4">
        <v>14</v>
      </c>
      <c r="R307" s="4">
        <v>9</v>
      </c>
      <c r="S307" s="4">
        <v>10</v>
      </c>
      <c r="T307" s="4">
        <v>5</v>
      </c>
      <c r="U307" s="4">
        <v>6</v>
      </c>
      <c r="V307" s="4">
        <v>3</v>
      </c>
      <c r="W307" s="4">
        <v>2</v>
      </c>
      <c r="X307" s="4">
        <v>2</v>
      </c>
      <c r="Y307" s="4">
        <v>2</v>
      </c>
      <c r="Z307" s="4">
        <v>2</v>
      </c>
      <c r="AA307" s="4">
        <v>3</v>
      </c>
      <c r="AB307" s="4">
        <v>1</v>
      </c>
      <c r="AC307" s="4">
        <v>0</v>
      </c>
      <c r="AD307" s="4">
        <v>2</v>
      </c>
      <c r="AE307" s="4">
        <v>0</v>
      </c>
      <c r="AF307" s="3">
        <v>0</v>
      </c>
      <c r="AG307" s="4">
        <v>1</v>
      </c>
    </row>
    <row r="308" spans="1:33" ht="15" x14ac:dyDescent="0.3">
      <c r="A308" s="1" t="s">
        <v>27</v>
      </c>
      <c r="B308" s="1" t="s">
        <v>29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2</v>
      </c>
      <c r="J308" s="1">
        <v>0</v>
      </c>
      <c r="K308" s="1">
        <v>1</v>
      </c>
      <c r="L308" s="1">
        <v>0</v>
      </c>
      <c r="M308" s="1">
        <v>1</v>
      </c>
      <c r="N308" s="1">
        <v>0</v>
      </c>
      <c r="O308" s="1">
        <v>0</v>
      </c>
      <c r="P308" s="1">
        <v>3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</row>
    <row r="309" spans="1:33" ht="15" x14ac:dyDescent="0.3">
      <c r="A309" s="1" t="s">
        <v>27</v>
      </c>
      <c r="B309" s="1" t="s">
        <v>30</v>
      </c>
      <c r="C309" s="1">
        <v>0</v>
      </c>
      <c r="D309" s="1">
        <v>0</v>
      </c>
      <c r="E309" s="1">
        <v>0</v>
      </c>
      <c r="F309" s="1">
        <v>3</v>
      </c>
      <c r="G309" s="1">
        <v>1</v>
      </c>
      <c r="H309" s="1">
        <v>4</v>
      </c>
      <c r="I309" s="1">
        <v>0</v>
      </c>
      <c r="J309" s="1">
        <v>3</v>
      </c>
      <c r="K309" s="1">
        <v>3</v>
      </c>
      <c r="L309" s="1">
        <v>2</v>
      </c>
      <c r="M309" s="1">
        <v>0</v>
      </c>
      <c r="N309" s="1">
        <v>2</v>
      </c>
      <c r="O309" s="1">
        <v>1</v>
      </c>
      <c r="P309" s="1">
        <v>0</v>
      </c>
      <c r="Q309" s="1">
        <v>4</v>
      </c>
      <c r="R309" s="1">
        <v>4</v>
      </c>
      <c r="S309" s="1">
        <v>3</v>
      </c>
      <c r="T309" s="1">
        <v>5</v>
      </c>
      <c r="U309" s="1">
        <v>2</v>
      </c>
      <c r="V309" s="1">
        <v>1</v>
      </c>
      <c r="W309" s="1">
        <v>2</v>
      </c>
      <c r="X309" s="1">
        <v>0</v>
      </c>
      <c r="Y309" s="1">
        <v>2</v>
      </c>
      <c r="Z309" s="1">
        <v>0</v>
      </c>
      <c r="AA309" s="1">
        <v>0</v>
      </c>
      <c r="AB309" s="1">
        <v>1</v>
      </c>
      <c r="AC309" s="1">
        <v>0</v>
      </c>
      <c r="AD309" s="1">
        <v>0</v>
      </c>
      <c r="AE309" s="1">
        <v>0</v>
      </c>
      <c r="AF309" s="1">
        <v>1</v>
      </c>
      <c r="AG309" s="1">
        <v>1</v>
      </c>
    </row>
    <row r="310" spans="1:33" ht="15" x14ac:dyDescent="0.3">
      <c r="A310" s="1" t="s">
        <v>27</v>
      </c>
      <c r="B310" s="1" t="s">
        <v>31</v>
      </c>
      <c r="C310" s="1">
        <v>0</v>
      </c>
      <c r="D310" s="1">
        <v>0</v>
      </c>
      <c r="E310" s="1">
        <v>1</v>
      </c>
      <c r="F310" s="1">
        <v>0</v>
      </c>
      <c r="G310" s="1">
        <v>1</v>
      </c>
      <c r="H310" s="1">
        <v>1</v>
      </c>
      <c r="I310" s="1">
        <v>2</v>
      </c>
      <c r="J310" s="1">
        <v>2</v>
      </c>
      <c r="K310" s="1">
        <v>6</v>
      </c>
      <c r="L310" s="1">
        <v>7</v>
      </c>
      <c r="M310" s="1">
        <v>7</v>
      </c>
      <c r="N310" s="1">
        <v>7</v>
      </c>
      <c r="O310" s="1">
        <v>0</v>
      </c>
      <c r="P310" s="1">
        <v>2</v>
      </c>
      <c r="Q310" s="1">
        <v>4</v>
      </c>
      <c r="R310" s="1">
        <v>4</v>
      </c>
      <c r="S310" s="1">
        <v>3</v>
      </c>
      <c r="T310" s="1">
        <v>1</v>
      </c>
      <c r="U310" s="1">
        <v>4</v>
      </c>
      <c r="V310" s="1">
        <v>1</v>
      </c>
      <c r="W310" s="1">
        <v>0</v>
      </c>
      <c r="X310" s="1">
        <v>0</v>
      </c>
      <c r="Y310" s="1">
        <v>1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</row>
    <row r="311" spans="1:33" ht="15" x14ac:dyDescent="0.3">
      <c r="A311" s="1" t="s">
        <v>27</v>
      </c>
      <c r="B311" s="1" t="s">
        <v>32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3</v>
      </c>
      <c r="I311" s="1">
        <v>0</v>
      </c>
      <c r="J311" s="1">
        <v>2</v>
      </c>
      <c r="K311" s="1">
        <v>1</v>
      </c>
      <c r="L311" s="1">
        <v>0</v>
      </c>
      <c r="M311" s="1">
        <v>1</v>
      </c>
      <c r="N311" s="1">
        <v>1</v>
      </c>
      <c r="O311" s="1">
        <v>6</v>
      </c>
      <c r="P311" s="1">
        <v>2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</row>
    <row r="312" spans="1:33" ht="15" x14ac:dyDescent="0.3">
      <c r="A312" s="1" t="s">
        <v>27</v>
      </c>
      <c r="B312" s="1" t="s">
        <v>33</v>
      </c>
      <c r="C312" s="1">
        <v>0</v>
      </c>
      <c r="D312" s="1">
        <v>3</v>
      </c>
      <c r="E312" s="1">
        <v>2</v>
      </c>
      <c r="F312" s="1">
        <v>0</v>
      </c>
      <c r="G312" s="1">
        <v>1</v>
      </c>
      <c r="H312" s="1">
        <v>7</v>
      </c>
      <c r="I312" s="1">
        <v>0</v>
      </c>
      <c r="J312" s="1">
        <v>4</v>
      </c>
      <c r="K312" s="1">
        <v>3</v>
      </c>
      <c r="L312" s="1">
        <v>21</v>
      </c>
      <c r="M312" s="1">
        <v>5</v>
      </c>
      <c r="N312" s="1">
        <v>9</v>
      </c>
      <c r="O312" s="1">
        <v>11</v>
      </c>
      <c r="P312" s="1">
        <v>9</v>
      </c>
      <c r="Q312" s="1">
        <v>27</v>
      </c>
      <c r="R312" s="1">
        <v>18</v>
      </c>
      <c r="S312" s="1">
        <v>6</v>
      </c>
      <c r="T312" s="1">
        <v>10</v>
      </c>
      <c r="U312" s="1">
        <v>5</v>
      </c>
      <c r="V312" s="1">
        <v>5</v>
      </c>
      <c r="W312" s="1">
        <v>3</v>
      </c>
      <c r="X312" s="1">
        <v>2</v>
      </c>
      <c r="Y312" s="1">
        <v>2</v>
      </c>
      <c r="Z312" s="1">
        <v>0</v>
      </c>
      <c r="AA312" s="1">
        <v>0</v>
      </c>
      <c r="AB312" s="1">
        <v>1</v>
      </c>
      <c r="AC312" s="1">
        <v>1</v>
      </c>
      <c r="AD312" s="1">
        <v>1</v>
      </c>
      <c r="AE312" s="1">
        <v>0</v>
      </c>
      <c r="AF312" s="1">
        <v>0</v>
      </c>
      <c r="AG312" s="1">
        <v>0</v>
      </c>
    </row>
    <row r="313" spans="1:33" ht="15" x14ac:dyDescent="0.3">
      <c r="A313" s="1" t="s">
        <v>27</v>
      </c>
      <c r="B313" s="1" t="s">
        <v>34</v>
      </c>
      <c r="C313" s="1">
        <v>0</v>
      </c>
      <c r="D313" s="1">
        <v>0</v>
      </c>
      <c r="E313" s="1">
        <v>1</v>
      </c>
      <c r="F313" s="1">
        <v>1</v>
      </c>
      <c r="G313" s="1">
        <v>0</v>
      </c>
      <c r="H313" s="1">
        <v>1</v>
      </c>
      <c r="I313" s="1">
        <v>2</v>
      </c>
      <c r="J313" s="1">
        <v>0</v>
      </c>
      <c r="K313" s="1">
        <v>3</v>
      </c>
      <c r="L313" s="1">
        <v>2</v>
      </c>
      <c r="M313" s="1">
        <v>2</v>
      </c>
      <c r="N313" s="1">
        <v>1</v>
      </c>
      <c r="O313" s="1">
        <v>0</v>
      </c>
      <c r="P313" s="1">
        <v>1</v>
      </c>
      <c r="Q313" s="1">
        <v>1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6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</row>
    <row r="314" spans="1:33" ht="15" x14ac:dyDescent="0.3">
      <c r="A314" s="1" t="s">
        <v>27</v>
      </c>
      <c r="B314" s="1" t="s">
        <v>35</v>
      </c>
      <c r="C314" s="1">
        <v>0</v>
      </c>
      <c r="D314" s="1">
        <v>0</v>
      </c>
      <c r="E314" s="1">
        <v>1</v>
      </c>
      <c r="F314" s="1">
        <v>0</v>
      </c>
      <c r="G314" s="1">
        <v>3</v>
      </c>
      <c r="H314" s="1">
        <v>1</v>
      </c>
      <c r="I314" s="1">
        <v>0</v>
      </c>
      <c r="J314" s="1">
        <v>1</v>
      </c>
      <c r="K314" s="1">
        <v>12</v>
      </c>
      <c r="L314" s="1">
        <v>0</v>
      </c>
      <c r="M314" s="1">
        <v>4</v>
      </c>
      <c r="N314" s="1">
        <v>1</v>
      </c>
      <c r="O314" s="1">
        <v>3</v>
      </c>
      <c r="P314" s="1">
        <v>3</v>
      </c>
      <c r="Q314" s="1">
        <v>0</v>
      </c>
      <c r="R314" s="1">
        <v>0</v>
      </c>
      <c r="S314" s="1">
        <v>3</v>
      </c>
      <c r="T314" s="1">
        <v>1</v>
      </c>
      <c r="U314" s="1">
        <v>2</v>
      </c>
      <c r="V314" s="1">
        <v>2</v>
      </c>
      <c r="W314" s="1">
        <v>3</v>
      </c>
      <c r="X314" s="1">
        <v>0</v>
      </c>
      <c r="Y314" s="1">
        <v>0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</row>
    <row r="315" spans="1:33" ht="15" x14ac:dyDescent="0.3">
      <c r="A315" s="1" t="s">
        <v>27</v>
      </c>
      <c r="B315" s="1" t="s">
        <v>36</v>
      </c>
      <c r="C315" s="1">
        <v>0</v>
      </c>
      <c r="D315" s="1">
        <v>1</v>
      </c>
      <c r="E315" s="1">
        <v>5</v>
      </c>
      <c r="F315" s="1">
        <v>12</v>
      </c>
      <c r="G315" s="1">
        <v>2</v>
      </c>
      <c r="H315" s="1">
        <v>1</v>
      </c>
      <c r="I315" s="1">
        <v>1</v>
      </c>
      <c r="J315" s="1">
        <v>0</v>
      </c>
      <c r="K315" s="1">
        <v>18</v>
      </c>
      <c r="L315" s="1">
        <v>24</v>
      </c>
      <c r="M315" s="1">
        <v>17</v>
      </c>
      <c r="N315" s="1">
        <v>14</v>
      </c>
      <c r="O315" s="1">
        <v>5</v>
      </c>
      <c r="P315" s="1">
        <v>9</v>
      </c>
      <c r="Q315" s="1">
        <v>6</v>
      </c>
      <c r="R315" s="1">
        <v>7</v>
      </c>
      <c r="S315" s="1">
        <v>2</v>
      </c>
      <c r="T315" s="1">
        <v>5</v>
      </c>
      <c r="U315" s="1">
        <v>4</v>
      </c>
      <c r="V315" s="1">
        <v>5</v>
      </c>
      <c r="W315" s="1">
        <v>3</v>
      </c>
      <c r="X315" s="1">
        <v>2</v>
      </c>
      <c r="Y315" s="1">
        <v>0</v>
      </c>
      <c r="Z315" s="1">
        <v>1</v>
      </c>
      <c r="AA315" s="1">
        <v>0</v>
      </c>
      <c r="AB315" s="1">
        <v>1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</row>
    <row r="316" spans="1:33" ht="15" x14ac:dyDescent="0.3">
      <c r="A316" s="1" t="s">
        <v>27</v>
      </c>
      <c r="B316" s="1" t="s">
        <v>37</v>
      </c>
      <c r="C316" s="1">
        <v>1</v>
      </c>
      <c r="D316" s="1">
        <v>3</v>
      </c>
      <c r="E316" s="1">
        <v>2</v>
      </c>
      <c r="F316" s="1">
        <v>0</v>
      </c>
      <c r="G316" s="1">
        <v>4</v>
      </c>
      <c r="H316" s="1">
        <v>8</v>
      </c>
      <c r="I316" s="1">
        <v>14</v>
      </c>
      <c r="J316" s="1">
        <v>28</v>
      </c>
      <c r="K316" s="1">
        <v>54</v>
      </c>
      <c r="L316" s="1">
        <v>58</v>
      </c>
      <c r="M316" s="1">
        <v>55</v>
      </c>
      <c r="N316" s="1">
        <v>14</v>
      </c>
      <c r="O316" s="1">
        <v>24</v>
      </c>
      <c r="P316" s="1">
        <v>26</v>
      </c>
      <c r="Q316" s="1">
        <v>49</v>
      </c>
      <c r="R316" s="1">
        <v>24</v>
      </c>
      <c r="S316" s="1">
        <v>32</v>
      </c>
      <c r="T316" s="1">
        <v>25</v>
      </c>
      <c r="U316" s="1">
        <v>17</v>
      </c>
      <c r="V316" s="1">
        <v>10</v>
      </c>
      <c r="W316" s="1">
        <v>16</v>
      </c>
      <c r="X316" s="1">
        <v>10</v>
      </c>
      <c r="Y316" s="1">
        <v>7</v>
      </c>
      <c r="Z316" s="1">
        <v>9</v>
      </c>
      <c r="AA316" s="1">
        <v>6</v>
      </c>
      <c r="AB316" s="1">
        <v>3</v>
      </c>
      <c r="AC316" s="1">
        <v>3</v>
      </c>
      <c r="AD316" s="1">
        <v>1</v>
      </c>
      <c r="AE316" s="1">
        <v>1</v>
      </c>
      <c r="AF316" s="1">
        <v>0</v>
      </c>
      <c r="AG316" s="1">
        <v>0</v>
      </c>
    </row>
    <row r="317" spans="1:33" ht="15" x14ac:dyDescent="0.3">
      <c r="A317" s="1" t="s">
        <v>27</v>
      </c>
      <c r="B317" s="1" t="s">
        <v>38</v>
      </c>
      <c r="C317" s="1">
        <v>0</v>
      </c>
      <c r="D317" s="1">
        <v>1</v>
      </c>
      <c r="E317" s="1">
        <v>0</v>
      </c>
      <c r="F317" s="1">
        <v>0</v>
      </c>
      <c r="G317" s="1">
        <v>1</v>
      </c>
      <c r="H317" s="1">
        <v>0</v>
      </c>
      <c r="I317" s="1">
        <v>2</v>
      </c>
      <c r="J317" s="1">
        <v>0</v>
      </c>
      <c r="K317" s="1">
        <v>2</v>
      </c>
      <c r="L317" s="1">
        <v>0</v>
      </c>
      <c r="M317" s="1">
        <v>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</row>
    <row r="318" spans="1:33" ht="15" x14ac:dyDescent="0.3">
      <c r="A318" s="1" t="s">
        <v>26</v>
      </c>
      <c r="B318" s="1" t="s">
        <v>26</v>
      </c>
      <c r="C318" s="3">
        <v>0</v>
      </c>
      <c r="D318" s="3">
        <v>6</v>
      </c>
      <c r="E318" s="3">
        <v>3</v>
      </c>
      <c r="F318" s="4">
        <v>18</v>
      </c>
      <c r="G318" s="4">
        <v>30</v>
      </c>
      <c r="H318" s="4">
        <v>18</v>
      </c>
      <c r="I318" s="4">
        <v>35</v>
      </c>
      <c r="J318" s="4">
        <v>22</v>
      </c>
      <c r="K318" s="4">
        <v>15</v>
      </c>
      <c r="L318" s="4">
        <v>35</v>
      </c>
      <c r="M318" s="4">
        <v>29</v>
      </c>
      <c r="N318" s="4">
        <v>36</v>
      </c>
      <c r="O318" s="4">
        <v>28</v>
      </c>
      <c r="P318" s="4">
        <v>37</v>
      </c>
      <c r="Q318" s="4">
        <v>54</v>
      </c>
      <c r="R318" s="4">
        <v>10</v>
      </c>
      <c r="S318" s="4">
        <v>24</v>
      </c>
      <c r="T318" s="4">
        <v>15</v>
      </c>
      <c r="U318" s="4">
        <v>13</v>
      </c>
      <c r="V318" s="4">
        <v>22</v>
      </c>
      <c r="W318" s="4">
        <v>23</v>
      </c>
      <c r="X318" s="4">
        <v>16</v>
      </c>
      <c r="Y318" s="4">
        <v>20</v>
      </c>
      <c r="Z318" s="4">
        <v>16</v>
      </c>
      <c r="AA318" s="4">
        <v>7</v>
      </c>
      <c r="AB318" s="4">
        <v>12</v>
      </c>
      <c r="AC318" s="4">
        <v>3</v>
      </c>
      <c r="AD318" s="4">
        <v>5</v>
      </c>
      <c r="AE318" s="4">
        <v>1</v>
      </c>
      <c r="AF318" s="3">
        <v>2</v>
      </c>
      <c r="AG318" s="4">
        <v>5</v>
      </c>
    </row>
  </sheetData>
  <sortState xmlns:xlrd2="http://schemas.microsoft.com/office/spreadsheetml/2017/richdata2" ref="A2:AG318">
    <sortCondition ref="A1:A31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11FA-973A-432D-918E-708EC1C717C7}">
  <dimension ref="A1:Q318"/>
  <sheetViews>
    <sheetView zoomScale="70" zoomScaleNormal="70" zoomScaleSheetLayoutView="89" workbookViewId="0">
      <selection activeCell="E25" sqref="E25"/>
    </sheetView>
  </sheetViews>
  <sheetFormatPr defaultRowHeight="14.5" x14ac:dyDescent="0.3"/>
  <cols>
    <col min="1" max="1" width="18.25" style="11" bestFit="1" customWidth="1"/>
    <col min="2" max="2" width="24.83203125" style="11" bestFit="1" customWidth="1"/>
    <col min="3" max="3" width="16.1640625" style="10" bestFit="1" customWidth="1"/>
    <col min="4" max="4" width="14.08203125" style="10" bestFit="1" customWidth="1"/>
    <col min="5" max="5" width="22.83203125" style="10" bestFit="1" customWidth="1"/>
    <col min="6" max="6" width="20.6640625" style="10" bestFit="1" customWidth="1"/>
    <col min="7" max="7" width="14.08203125" style="10" bestFit="1" customWidth="1"/>
    <col min="8" max="8" width="32.08203125" style="10" bestFit="1" customWidth="1"/>
    <col min="9" max="9" width="18.4140625" style="10" bestFit="1" customWidth="1"/>
    <col min="10" max="10" width="17.5" style="10" bestFit="1" customWidth="1"/>
    <col min="11" max="11" width="16.1640625" style="10" bestFit="1" customWidth="1"/>
    <col min="12" max="12" width="21.75" style="10" bestFit="1" customWidth="1"/>
    <col min="13" max="14" width="19.5" style="10" bestFit="1" customWidth="1"/>
    <col min="15" max="17" width="18.4140625" style="10" bestFit="1" customWidth="1"/>
    <col min="18" max="16384" width="8.6640625" style="10"/>
  </cols>
  <sheetData>
    <row r="1" spans="1:17" s="11" customFormat="1" ht="30" x14ac:dyDescent="0.45">
      <c r="A1" s="3" t="s">
        <v>21</v>
      </c>
      <c r="B1" s="3" t="s">
        <v>22</v>
      </c>
      <c r="C1" s="7" t="s">
        <v>331</v>
      </c>
      <c r="D1" s="7" t="s">
        <v>332</v>
      </c>
      <c r="E1" s="7" t="s">
        <v>333</v>
      </c>
      <c r="F1" s="7" t="s">
        <v>334</v>
      </c>
      <c r="G1" s="7" t="s">
        <v>335</v>
      </c>
      <c r="H1" s="9" t="s">
        <v>359</v>
      </c>
      <c r="I1" s="7" t="s">
        <v>360</v>
      </c>
      <c r="J1" s="10" t="s">
        <v>361</v>
      </c>
      <c r="K1" s="7" t="s">
        <v>336</v>
      </c>
      <c r="L1" s="7" t="s">
        <v>337</v>
      </c>
      <c r="M1" s="7" t="s">
        <v>0</v>
      </c>
      <c r="N1" s="7" t="s">
        <v>1</v>
      </c>
      <c r="O1" s="7" t="s">
        <v>338</v>
      </c>
      <c r="P1" s="7" t="s">
        <v>339</v>
      </c>
      <c r="Q1" s="7" t="s">
        <v>340</v>
      </c>
    </row>
    <row r="2" spans="1:17" ht="15.5" x14ac:dyDescent="0.35">
      <c r="A2" s="3" t="s">
        <v>53</v>
      </c>
      <c r="B2" s="3" t="s">
        <v>54</v>
      </c>
      <c r="C2" s="5">
        <v>12</v>
      </c>
      <c r="D2" s="5">
        <v>1</v>
      </c>
      <c r="E2" s="8">
        <v>529</v>
      </c>
      <c r="F2" s="8">
        <v>13538</v>
      </c>
      <c r="G2" s="5">
        <f t="shared" ref="G2:G65" si="0">E2/F2</f>
        <v>3.9075195745309502E-2</v>
      </c>
      <c r="H2" s="8">
        <v>2381</v>
      </c>
      <c r="I2" s="8">
        <v>85</v>
      </c>
      <c r="J2" s="8">
        <v>17915</v>
      </c>
      <c r="K2" s="5">
        <f t="shared" ref="K2:K65" si="1">(J2/(E2*10000))*1000</f>
        <v>3.3865784499054823</v>
      </c>
      <c r="L2" s="5">
        <v>3.76051290322581</v>
      </c>
      <c r="M2" s="5">
        <v>44.466634800000001</v>
      </c>
      <c r="N2" s="5">
        <v>18.012779999999999</v>
      </c>
      <c r="O2" s="5">
        <f t="shared" ref="O2:O65" si="2">1-N2/M2</f>
        <v>0.59491470220274012</v>
      </c>
      <c r="P2" s="5">
        <v>0.58105741935483901</v>
      </c>
      <c r="Q2" s="5">
        <v>0.57108971612903203</v>
      </c>
    </row>
    <row r="3" spans="1:17" ht="15.5" x14ac:dyDescent="0.35">
      <c r="A3" s="3" t="s">
        <v>53</v>
      </c>
      <c r="B3" s="3" t="s">
        <v>55</v>
      </c>
      <c r="C3" s="5">
        <v>3</v>
      </c>
      <c r="D3" s="5">
        <v>0</v>
      </c>
      <c r="E3" s="8">
        <v>386</v>
      </c>
      <c r="F3" s="8">
        <v>5951</v>
      </c>
      <c r="G3" s="5">
        <f t="shared" si="0"/>
        <v>6.4863048227188705E-2</v>
      </c>
      <c r="H3" s="8">
        <v>2057</v>
      </c>
      <c r="I3" s="8">
        <v>88</v>
      </c>
      <c r="J3" s="8">
        <v>18086</v>
      </c>
      <c r="K3" s="5">
        <f t="shared" si="1"/>
        <v>4.6854922279792746</v>
      </c>
      <c r="L3" s="5">
        <v>3.01388387096774</v>
      </c>
      <c r="M3" s="5">
        <v>38.059372799999998</v>
      </c>
      <c r="N3" s="5">
        <v>14.630576400000001</v>
      </c>
      <c r="O3" s="5">
        <f t="shared" si="2"/>
        <v>0.61558545704673295</v>
      </c>
      <c r="P3" s="5">
        <v>0.47195407741935502</v>
      </c>
      <c r="Q3" s="5">
        <v>0.48750085161290302</v>
      </c>
    </row>
    <row r="4" spans="1:17" ht="15.5" x14ac:dyDescent="0.35">
      <c r="A4" s="3" t="s">
        <v>53</v>
      </c>
      <c r="B4" s="3" t="s">
        <v>56</v>
      </c>
      <c r="C4" s="5">
        <v>7</v>
      </c>
      <c r="D4" s="5">
        <v>0</v>
      </c>
      <c r="E4" s="8">
        <v>663</v>
      </c>
      <c r="F4" s="8">
        <v>8521</v>
      </c>
      <c r="G4" s="5">
        <f t="shared" si="0"/>
        <v>7.7807769041192354E-2</v>
      </c>
      <c r="H4" s="8">
        <v>1749</v>
      </c>
      <c r="I4" s="8">
        <v>89</v>
      </c>
      <c r="J4" s="8">
        <v>16448</v>
      </c>
      <c r="K4" s="5">
        <f t="shared" si="1"/>
        <v>2.480844645550528</v>
      </c>
      <c r="L4" s="5">
        <v>4.4448354838709703</v>
      </c>
      <c r="M4" s="5">
        <v>56.502781200000001</v>
      </c>
      <c r="N4" s="5">
        <v>21.356686799999999</v>
      </c>
      <c r="O4" s="5">
        <f t="shared" si="2"/>
        <v>0.62202414914046744</v>
      </c>
      <c r="P4" s="5">
        <v>0.68892538064516096</v>
      </c>
      <c r="Q4" s="5">
        <v>0.70113599999999998</v>
      </c>
    </row>
    <row r="5" spans="1:17" ht="15.5" x14ac:dyDescent="0.35">
      <c r="A5" s="3" t="s">
        <v>53</v>
      </c>
      <c r="B5" s="3" t="s">
        <v>57</v>
      </c>
      <c r="C5" s="5">
        <v>3</v>
      </c>
      <c r="D5" s="5">
        <v>1</v>
      </c>
      <c r="E5" s="8">
        <v>162</v>
      </c>
      <c r="F5" s="8">
        <v>8399</v>
      </c>
      <c r="G5" s="5">
        <f t="shared" si="0"/>
        <v>1.9288010477437788E-2</v>
      </c>
      <c r="H5" s="8">
        <v>832</v>
      </c>
      <c r="I5" s="8">
        <v>37</v>
      </c>
      <c r="J5" s="8">
        <v>6550</v>
      </c>
      <c r="K5" s="5">
        <f t="shared" si="1"/>
        <v>4.0432098765432105</v>
      </c>
      <c r="L5" s="5">
        <v>3.4772645161290301</v>
      </c>
      <c r="M5" s="5">
        <v>17.933173199999999</v>
      </c>
      <c r="N5" s="5">
        <v>6.4389168000000003</v>
      </c>
      <c r="O5" s="5">
        <f t="shared" si="2"/>
        <v>0.64094938870048934</v>
      </c>
      <c r="P5" s="5">
        <v>0.20770699354838701</v>
      </c>
      <c r="Q5" s="5">
        <v>0.22359971612903201</v>
      </c>
    </row>
    <row r="6" spans="1:17" ht="15.5" x14ac:dyDescent="0.35">
      <c r="A6" s="3" t="s">
        <v>53</v>
      </c>
      <c r="B6" s="3" t="s">
        <v>58</v>
      </c>
      <c r="C6" s="5">
        <v>6</v>
      </c>
      <c r="D6" s="5">
        <v>0</v>
      </c>
      <c r="E6" s="8">
        <v>455</v>
      </c>
      <c r="F6" s="8">
        <v>13516</v>
      </c>
      <c r="G6" s="5">
        <f t="shared" si="0"/>
        <v>3.3663805859721813E-2</v>
      </c>
      <c r="H6" s="8">
        <v>2909</v>
      </c>
      <c r="I6" s="8">
        <v>80</v>
      </c>
      <c r="J6" s="8">
        <v>16437</v>
      </c>
      <c r="K6" s="5">
        <f t="shared" si="1"/>
        <v>3.6125274725274723</v>
      </c>
      <c r="L6" s="5">
        <v>3.4703290322580602</v>
      </c>
      <c r="M6" s="5">
        <v>50.105303999999997</v>
      </c>
      <c r="N6" s="5">
        <v>18.7531848</v>
      </c>
      <c r="O6" s="5">
        <f t="shared" si="2"/>
        <v>0.62572455802283922</v>
      </c>
      <c r="P6" s="5">
        <v>0.60494144516129</v>
      </c>
      <c r="Q6" s="5">
        <v>0.74361553548387105</v>
      </c>
    </row>
    <row r="7" spans="1:17" ht="15.5" x14ac:dyDescent="0.35">
      <c r="A7" s="3" t="s">
        <v>53</v>
      </c>
      <c r="B7" s="3" t="s">
        <v>59</v>
      </c>
      <c r="C7" s="5">
        <v>10</v>
      </c>
      <c r="D7" s="5">
        <v>1</v>
      </c>
      <c r="E7" s="8">
        <v>1077</v>
      </c>
      <c r="F7" s="8">
        <v>10118</v>
      </c>
      <c r="G7" s="5">
        <f t="shared" si="0"/>
        <v>0.10644396125716545</v>
      </c>
      <c r="H7" s="8">
        <v>2705</v>
      </c>
      <c r="I7" s="8">
        <v>120</v>
      </c>
      <c r="J7" s="8">
        <v>34938</v>
      </c>
      <c r="K7" s="5">
        <f t="shared" si="1"/>
        <v>3.2440111420612814</v>
      </c>
      <c r="L7" s="5">
        <v>3.7256967741935498</v>
      </c>
      <c r="M7" s="5">
        <v>78.296446799999998</v>
      </c>
      <c r="N7" s="5">
        <v>28.814745599999998</v>
      </c>
      <c r="O7" s="5">
        <f t="shared" si="2"/>
        <v>0.63197888566253557</v>
      </c>
      <c r="P7" s="5">
        <v>0.92950792258064496</v>
      </c>
      <c r="Q7" s="5">
        <v>0.98760634838709704</v>
      </c>
    </row>
    <row r="8" spans="1:17" ht="15.5" x14ac:dyDescent="0.35">
      <c r="A8" s="3" t="s">
        <v>53</v>
      </c>
      <c r="B8" s="3" t="s">
        <v>60</v>
      </c>
      <c r="C8" s="5">
        <v>12</v>
      </c>
      <c r="D8" s="5">
        <v>1</v>
      </c>
      <c r="E8" s="8">
        <v>770</v>
      </c>
      <c r="F8" s="8">
        <v>11445</v>
      </c>
      <c r="G8" s="5">
        <f t="shared" si="0"/>
        <v>6.7278287461773695E-2</v>
      </c>
      <c r="H8" s="8">
        <v>9409</v>
      </c>
      <c r="I8" s="8">
        <v>199</v>
      </c>
      <c r="J8" s="8">
        <v>52285</v>
      </c>
      <c r="K8" s="5">
        <f t="shared" si="1"/>
        <v>6.7902597402597404</v>
      </c>
      <c r="L8" s="5">
        <v>2.0563096774193501</v>
      </c>
      <c r="M8" s="5">
        <v>121.3596108</v>
      </c>
      <c r="N8" s="5">
        <v>52.2292536</v>
      </c>
      <c r="O8" s="5">
        <f t="shared" si="2"/>
        <v>0.56963232449654488</v>
      </c>
      <c r="P8" s="5">
        <v>1.6848146322580599</v>
      </c>
      <c r="Q8" s="5">
        <v>1.6215771483871</v>
      </c>
    </row>
    <row r="9" spans="1:17" ht="15.5" x14ac:dyDescent="0.35">
      <c r="A9" s="3" t="s">
        <v>53</v>
      </c>
      <c r="B9" s="3" t="s">
        <v>61</v>
      </c>
      <c r="C9" s="5">
        <v>2</v>
      </c>
      <c r="D9" s="5">
        <v>0</v>
      </c>
      <c r="E9" s="8">
        <v>219</v>
      </c>
      <c r="F9" s="8">
        <v>2741</v>
      </c>
      <c r="G9" s="5">
        <f t="shared" si="0"/>
        <v>7.989784750091207E-2</v>
      </c>
      <c r="H9" s="8">
        <v>1078</v>
      </c>
      <c r="I9" s="8">
        <v>82</v>
      </c>
      <c r="J9" s="8">
        <v>10406</v>
      </c>
      <c r="K9" s="5">
        <f t="shared" si="1"/>
        <v>4.7515981735159825</v>
      </c>
      <c r="L9" s="5">
        <v>2.7316129032258099</v>
      </c>
      <c r="M9" s="5">
        <v>27.128357999999999</v>
      </c>
      <c r="N9" s="5">
        <v>10.583524799999999</v>
      </c>
      <c r="O9" s="5">
        <f t="shared" si="2"/>
        <v>0.60987226724153376</v>
      </c>
      <c r="P9" s="5">
        <v>0.34140402580645202</v>
      </c>
      <c r="Q9" s="5">
        <v>0.34200917419354798</v>
      </c>
    </row>
    <row r="10" spans="1:17" ht="15.5" x14ac:dyDescent="0.35">
      <c r="A10" s="3" t="s">
        <v>53</v>
      </c>
      <c r="B10" s="3" t="s">
        <v>62</v>
      </c>
      <c r="C10" s="5">
        <v>5</v>
      </c>
      <c r="D10" s="5">
        <v>0</v>
      </c>
      <c r="E10" s="8">
        <v>391</v>
      </c>
      <c r="F10" s="8">
        <v>5532</v>
      </c>
      <c r="G10" s="5">
        <f t="shared" si="0"/>
        <v>7.0679681851048448E-2</v>
      </c>
      <c r="H10" s="8">
        <v>1296</v>
      </c>
      <c r="I10" s="8">
        <v>79</v>
      </c>
      <c r="J10" s="8">
        <v>14991</v>
      </c>
      <c r="K10" s="5">
        <f t="shared" si="1"/>
        <v>3.8340153452685422</v>
      </c>
      <c r="L10" s="5">
        <v>3.4097903225806401</v>
      </c>
      <c r="M10" s="5">
        <v>40.182706799999998</v>
      </c>
      <c r="N10" s="5">
        <v>16.266679199999999</v>
      </c>
      <c r="O10" s="5">
        <f t="shared" si="2"/>
        <v>0.59518209460194949</v>
      </c>
      <c r="P10" s="5">
        <v>0.52473158709677403</v>
      </c>
      <c r="Q10" s="5">
        <v>0.54425415483870998</v>
      </c>
    </row>
    <row r="11" spans="1:17" ht="15.5" x14ac:dyDescent="0.35">
      <c r="A11" s="3" t="s">
        <v>53</v>
      </c>
      <c r="B11" s="3" t="s">
        <v>63</v>
      </c>
      <c r="C11" s="5">
        <v>8</v>
      </c>
      <c r="D11" s="5">
        <v>1</v>
      </c>
      <c r="E11" s="8">
        <v>149</v>
      </c>
      <c r="F11" s="8">
        <v>9678</v>
      </c>
      <c r="G11" s="5">
        <f t="shared" si="0"/>
        <v>1.5395742922091341E-2</v>
      </c>
      <c r="H11" s="8">
        <v>818</v>
      </c>
      <c r="I11" s="8">
        <v>33</v>
      </c>
      <c r="J11" s="8">
        <v>6970</v>
      </c>
      <c r="K11" s="5">
        <f t="shared" si="1"/>
        <v>4.6778523489932891</v>
      </c>
      <c r="L11" s="5">
        <v>3.2743709677419401</v>
      </c>
      <c r="M11" s="5">
        <v>16.037611200000001</v>
      </c>
      <c r="N11" s="5">
        <v>4.8911688</v>
      </c>
      <c r="O11" s="5">
        <f t="shared" si="2"/>
        <v>0.69501886914430244</v>
      </c>
      <c r="P11" s="5">
        <v>0.15777963870967701</v>
      </c>
      <c r="Q11" s="5">
        <v>0.17065602580645201</v>
      </c>
    </row>
    <row r="12" spans="1:17" ht="15.5" x14ac:dyDescent="0.35">
      <c r="A12" s="3" t="s">
        <v>53</v>
      </c>
      <c r="B12" s="3" t="s">
        <v>64</v>
      </c>
      <c r="C12" s="5">
        <v>8</v>
      </c>
      <c r="D12" s="5">
        <v>0</v>
      </c>
      <c r="E12" s="8">
        <v>591</v>
      </c>
      <c r="F12" s="8">
        <v>15451</v>
      </c>
      <c r="G12" s="5">
        <f t="shared" si="0"/>
        <v>3.824995145945246E-2</v>
      </c>
      <c r="H12" s="8">
        <v>1620</v>
      </c>
      <c r="I12" s="8">
        <v>37</v>
      </c>
      <c r="J12" s="8">
        <v>13393</v>
      </c>
      <c r="K12" s="5">
        <f t="shared" si="1"/>
        <v>2.2661590524534687</v>
      </c>
      <c r="L12" s="5">
        <v>3.7309354838709701</v>
      </c>
      <c r="M12" s="5">
        <v>51.608113199999998</v>
      </c>
      <c r="N12" s="5">
        <v>20.767071600000001</v>
      </c>
      <c r="O12" s="5">
        <f t="shared" si="2"/>
        <v>0.59760064237341659</v>
      </c>
      <c r="P12" s="5">
        <v>0.669905535483871</v>
      </c>
      <c r="Q12" s="5">
        <v>0.73342312258064501</v>
      </c>
    </row>
    <row r="13" spans="1:17" ht="15.5" x14ac:dyDescent="0.35">
      <c r="A13" s="3" t="s">
        <v>53</v>
      </c>
      <c r="B13" s="3" t="s">
        <v>65</v>
      </c>
      <c r="C13" s="5">
        <v>4</v>
      </c>
      <c r="D13" s="5">
        <v>0</v>
      </c>
      <c r="E13" s="8">
        <v>229</v>
      </c>
      <c r="F13" s="8">
        <v>4049</v>
      </c>
      <c r="G13" s="5">
        <f t="shared" si="0"/>
        <v>5.6557174611015067E-2</v>
      </c>
      <c r="H13" s="8">
        <v>2111</v>
      </c>
      <c r="I13" s="8">
        <v>64</v>
      </c>
      <c r="J13" s="8">
        <v>8599</v>
      </c>
      <c r="K13" s="5">
        <f t="shared" si="1"/>
        <v>3.7550218340611354</v>
      </c>
      <c r="L13" s="5">
        <v>3.0389419354838698</v>
      </c>
      <c r="M13" s="5">
        <v>29.702764800000001</v>
      </c>
      <c r="N13" s="5">
        <v>10.4236956</v>
      </c>
      <c r="O13" s="5">
        <f t="shared" si="2"/>
        <v>0.64906648690158297</v>
      </c>
      <c r="P13" s="5">
        <v>0.33624824516128998</v>
      </c>
      <c r="Q13" s="5">
        <v>0.362298890322581</v>
      </c>
    </row>
    <row r="14" spans="1:17" ht="15.5" x14ac:dyDescent="0.35">
      <c r="A14" s="3" t="s">
        <v>53</v>
      </c>
      <c r="B14" s="3" t="s">
        <v>66</v>
      </c>
      <c r="C14" s="5">
        <v>9</v>
      </c>
      <c r="D14" s="5">
        <v>0</v>
      </c>
      <c r="E14" s="8">
        <v>658</v>
      </c>
      <c r="F14" s="8">
        <v>9939</v>
      </c>
      <c r="G14" s="5">
        <f t="shared" si="0"/>
        <v>6.6203843445014593E-2</v>
      </c>
      <c r="H14" s="8">
        <v>1979</v>
      </c>
      <c r="I14" s="8">
        <v>89</v>
      </c>
      <c r="J14" s="8">
        <v>17665</v>
      </c>
      <c r="K14" s="5">
        <f t="shared" si="1"/>
        <v>2.6846504559270516</v>
      </c>
      <c r="L14" s="5">
        <v>3.3722709677419398</v>
      </c>
      <c r="M14" s="5">
        <v>66.487359600000005</v>
      </c>
      <c r="N14" s="5">
        <v>25.089004800000001</v>
      </c>
      <c r="O14" s="5">
        <f t="shared" si="2"/>
        <v>0.62265000518985869</v>
      </c>
      <c r="P14" s="5">
        <v>0.80932273548387101</v>
      </c>
      <c r="Q14" s="5">
        <v>0.85403682580645202</v>
      </c>
    </row>
    <row r="15" spans="1:17" ht="15.5" x14ac:dyDescent="0.35">
      <c r="A15" s="3" t="s">
        <v>53</v>
      </c>
      <c r="B15" s="3" t="s">
        <v>67</v>
      </c>
      <c r="C15" s="5">
        <v>2</v>
      </c>
      <c r="D15" s="5">
        <v>0</v>
      </c>
      <c r="E15" s="8">
        <v>171</v>
      </c>
      <c r="F15" s="8">
        <v>2992</v>
      </c>
      <c r="G15" s="5">
        <f t="shared" si="0"/>
        <v>5.7152406417112299E-2</v>
      </c>
      <c r="H15" s="8">
        <v>960</v>
      </c>
      <c r="I15" s="8">
        <v>30</v>
      </c>
      <c r="J15" s="8">
        <v>7761</v>
      </c>
      <c r="K15" s="5">
        <f t="shared" si="1"/>
        <v>4.5385964912280699</v>
      </c>
      <c r="L15" s="5">
        <v>3.84924838709677</v>
      </c>
      <c r="M15" s="5">
        <v>19.217411999999999</v>
      </c>
      <c r="N15" s="5">
        <v>8.0778707999999995</v>
      </c>
      <c r="O15" s="5">
        <f t="shared" si="2"/>
        <v>0.57965875946251244</v>
      </c>
      <c r="P15" s="5">
        <v>0.26057647741935502</v>
      </c>
      <c r="Q15" s="5">
        <v>0.26819674838709701</v>
      </c>
    </row>
    <row r="16" spans="1:17" ht="15.5" x14ac:dyDescent="0.35">
      <c r="A16" s="3" t="s">
        <v>53</v>
      </c>
      <c r="B16" s="3" t="s">
        <v>68</v>
      </c>
      <c r="C16" s="5">
        <v>8</v>
      </c>
      <c r="D16" s="5">
        <v>1</v>
      </c>
      <c r="E16" s="8">
        <v>390</v>
      </c>
      <c r="F16" s="8">
        <v>6004</v>
      </c>
      <c r="G16" s="5">
        <f t="shared" si="0"/>
        <v>6.4956695536309131E-2</v>
      </c>
      <c r="H16" s="8">
        <v>3618</v>
      </c>
      <c r="I16" s="8">
        <v>79</v>
      </c>
      <c r="J16" s="8">
        <v>18611</v>
      </c>
      <c r="K16" s="5">
        <f t="shared" si="1"/>
        <v>4.7720512820512822</v>
      </c>
      <c r="L16" s="5">
        <v>2.9075935483871</v>
      </c>
      <c r="M16" s="5">
        <v>42.256565999999999</v>
      </c>
      <c r="N16" s="5">
        <v>16.671873600000001</v>
      </c>
      <c r="O16" s="5">
        <f t="shared" si="2"/>
        <v>0.6054607560869949</v>
      </c>
      <c r="P16" s="5">
        <v>0.53780237419354804</v>
      </c>
      <c r="Q16" s="5">
        <v>0.581551780645161</v>
      </c>
    </row>
    <row r="17" spans="1:17" ht="15.5" x14ac:dyDescent="0.35">
      <c r="A17" s="3" t="s">
        <v>53</v>
      </c>
      <c r="B17" s="3" t="s">
        <v>69</v>
      </c>
      <c r="C17" s="5">
        <v>10</v>
      </c>
      <c r="D17" s="5">
        <v>0</v>
      </c>
      <c r="E17" s="8">
        <v>279</v>
      </c>
      <c r="F17" s="8">
        <v>12313</v>
      </c>
      <c r="G17" s="5">
        <f t="shared" si="0"/>
        <v>2.2658978315601395E-2</v>
      </c>
      <c r="H17" s="8">
        <v>1561</v>
      </c>
      <c r="I17" s="8">
        <v>50</v>
      </c>
      <c r="J17" s="8">
        <v>11741</v>
      </c>
      <c r="K17" s="5">
        <f t="shared" si="1"/>
        <v>4.2082437275985658</v>
      </c>
      <c r="L17" s="5">
        <v>3.7178709677419399</v>
      </c>
      <c r="M17" s="5">
        <v>28.4471028</v>
      </c>
      <c r="N17" s="5">
        <v>9.8290260000000007</v>
      </c>
      <c r="O17" s="5">
        <f t="shared" si="2"/>
        <v>0.65448059617515775</v>
      </c>
      <c r="P17" s="5">
        <v>0.31706535483871001</v>
      </c>
      <c r="Q17" s="5">
        <v>0.36428678709677398</v>
      </c>
    </row>
    <row r="18" spans="1:17" ht="15.5" x14ac:dyDescent="0.35">
      <c r="A18" s="3" t="s">
        <v>24</v>
      </c>
      <c r="B18" s="3" t="s">
        <v>24</v>
      </c>
      <c r="C18" s="5">
        <v>62</v>
      </c>
      <c r="D18" s="5">
        <v>2</v>
      </c>
      <c r="E18" s="8">
        <v>1397</v>
      </c>
      <c r="F18" s="8">
        <v>16410</v>
      </c>
      <c r="G18" s="5">
        <f t="shared" si="0"/>
        <v>8.513101767215113E-2</v>
      </c>
      <c r="H18" s="8">
        <v>35371</v>
      </c>
      <c r="I18" s="8">
        <v>745</v>
      </c>
      <c r="J18" s="8">
        <v>119574</v>
      </c>
      <c r="K18" s="5">
        <f t="shared" si="1"/>
        <v>8.559341445955619</v>
      </c>
      <c r="L18" s="5">
        <v>1.9813483870967701</v>
      </c>
      <c r="M18" s="5">
        <v>345.69222120000001</v>
      </c>
      <c r="N18" s="5">
        <v>134.10074879999999</v>
      </c>
      <c r="O18" s="5">
        <f t="shared" si="2"/>
        <v>0.61208051389037155</v>
      </c>
      <c r="P18" s="5">
        <v>4.3258306064516097</v>
      </c>
      <c r="Q18" s="5">
        <v>3.88249304516129</v>
      </c>
    </row>
    <row r="19" spans="1:17" ht="15.5" x14ac:dyDescent="0.35">
      <c r="A19" s="3" t="s">
        <v>353</v>
      </c>
      <c r="B19" s="3" t="s">
        <v>166</v>
      </c>
      <c r="C19" s="5">
        <v>15</v>
      </c>
      <c r="D19" s="5">
        <v>1</v>
      </c>
      <c r="E19" s="8">
        <v>289</v>
      </c>
      <c r="F19" s="8">
        <v>22965</v>
      </c>
      <c r="G19" s="5">
        <f t="shared" si="0"/>
        <v>1.258436751578489E-2</v>
      </c>
      <c r="H19" s="8">
        <v>2602</v>
      </c>
      <c r="I19" s="8">
        <v>56</v>
      </c>
      <c r="J19" s="8">
        <v>11466</v>
      </c>
      <c r="K19" s="5">
        <f t="shared" si="1"/>
        <v>3.9674740484429063</v>
      </c>
      <c r="L19" s="5">
        <v>2.9676129032258101</v>
      </c>
      <c r="M19" s="5">
        <v>25.130541600000001</v>
      </c>
      <c r="N19" s="5">
        <v>10.030813200000001</v>
      </c>
      <c r="O19" s="5">
        <f t="shared" si="2"/>
        <v>0.60085169035911268</v>
      </c>
      <c r="P19" s="5">
        <v>0.323574619354839</v>
      </c>
      <c r="Q19" s="5">
        <v>0.35857289032258099</v>
      </c>
    </row>
    <row r="20" spans="1:17" ht="15.5" x14ac:dyDescent="0.35">
      <c r="A20" s="3" t="s">
        <v>353</v>
      </c>
      <c r="B20" s="3" t="s">
        <v>167</v>
      </c>
      <c r="C20" s="5">
        <v>15</v>
      </c>
      <c r="D20" s="5">
        <v>1</v>
      </c>
      <c r="E20" s="8">
        <v>318</v>
      </c>
      <c r="F20" s="8">
        <v>26280</v>
      </c>
      <c r="G20" s="5">
        <f t="shared" si="0"/>
        <v>1.2100456621004566E-2</v>
      </c>
      <c r="H20" s="8">
        <v>1992</v>
      </c>
      <c r="I20" s="8">
        <v>53</v>
      </c>
      <c r="J20" s="8">
        <v>12400</v>
      </c>
      <c r="K20" s="5">
        <f t="shared" si="1"/>
        <v>3.89937106918239</v>
      </c>
      <c r="L20" s="5">
        <v>2.40951612903226</v>
      </c>
      <c r="M20" s="5">
        <v>25.0133832</v>
      </c>
      <c r="N20" s="5">
        <v>8.9911296000000007</v>
      </c>
      <c r="O20" s="5">
        <f t="shared" si="2"/>
        <v>0.64054724112650219</v>
      </c>
      <c r="P20" s="5">
        <v>0.29003643870967699</v>
      </c>
      <c r="Q20" s="5">
        <v>0.31378772903225799</v>
      </c>
    </row>
    <row r="21" spans="1:17" ht="15.5" x14ac:dyDescent="0.35">
      <c r="A21" s="3" t="s">
        <v>353</v>
      </c>
      <c r="B21" s="3" t="s">
        <v>168</v>
      </c>
      <c r="C21" s="5">
        <v>3</v>
      </c>
      <c r="D21" s="5">
        <v>1</v>
      </c>
      <c r="E21" s="8">
        <v>261</v>
      </c>
      <c r="F21" s="8">
        <v>1701</v>
      </c>
      <c r="G21" s="5">
        <f t="shared" si="0"/>
        <v>0.15343915343915343</v>
      </c>
      <c r="H21" s="8">
        <v>5995</v>
      </c>
      <c r="I21" s="8">
        <v>63</v>
      </c>
      <c r="J21" s="8">
        <v>17539</v>
      </c>
      <c r="K21" s="5">
        <f t="shared" si="1"/>
        <v>6.7199233716475097</v>
      </c>
      <c r="L21" s="5">
        <v>1.8268032258064499</v>
      </c>
      <c r="M21" s="5">
        <v>92.529572400000006</v>
      </c>
      <c r="N21" s="5">
        <v>37.918724400000002</v>
      </c>
      <c r="O21" s="5">
        <f t="shared" si="2"/>
        <v>0.5901988584138318</v>
      </c>
      <c r="P21" s="5">
        <v>1.22318465806452</v>
      </c>
      <c r="Q21" s="5">
        <v>1.1274311612903201</v>
      </c>
    </row>
    <row r="22" spans="1:17" ht="15.5" x14ac:dyDescent="0.35">
      <c r="A22" s="3" t="s">
        <v>353</v>
      </c>
      <c r="B22" s="3" t="s">
        <v>169</v>
      </c>
      <c r="C22" s="5">
        <v>10</v>
      </c>
      <c r="D22" s="5">
        <v>0</v>
      </c>
      <c r="E22" s="8">
        <v>356</v>
      </c>
      <c r="F22" s="8">
        <v>13433</v>
      </c>
      <c r="G22" s="5">
        <f t="shared" si="0"/>
        <v>2.6501898310131763E-2</v>
      </c>
      <c r="H22" s="8">
        <v>2452</v>
      </c>
      <c r="I22" s="8">
        <v>49</v>
      </c>
      <c r="J22" s="8">
        <v>11299</v>
      </c>
      <c r="K22" s="5">
        <f t="shared" si="1"/>
        <v>3.1738764044943819</v>
      </c>
      <c r="L22" s="5">
        <v>2.7061129032258102</v>
      </c>
      <c r="M22" s="5">
        <v>26.038843199999999</v>
      </c>
      <c r="N22" s="5">
        <v>9.2049047999999996</v>
      </c>
      <c r="O22" s="5">
        <f t="shared" si="2"/>
        <v>0.64649332809070414</v>
      </c>
      <c r="P22" s="5">
        <v>0.29693241290322597</v>
      </c>
      <c r="Q22" s="5">
        <v>0.32113730322580603</v>
      </c>
    </row>
    <row r="23" spans="1:17" ht="15.5" x14ac:dyDescent="0.35">
      <c r="A23" s="3" t="s">
        <v>353</v>
      </c>
      <c r="B23" s="3" t="s">
        <v>170</v>
      </c>
      <c r="C23" s="5">
        <v>10</v>
      </c>
      <c r="D23" s="5">
        <v>1</v>
      </c>
      <c r="E23" s="8">
        <v>761</v>
      </c>
      <c r="F23" s="8">
        <v>11015</v>
      </c>
      <c r="G23" s="5">
        <f t="shared" si="0"/>
        <v>6.9087607807535173E-2</v>
      </c>
      <c r="H23" s="8">
        <v>9947</v>
      </c>
      <c r="I23" s="8">
        <v>127</v>
      </c>
      <c r="J23" s="8">
        <v>31051</v>
      </c>
      <c r="K23" s="5">
        <f t="shared" si="1"/>
        <v>4.0802890932982914</v>
      </c>
      <c r="L23" s="5">
        <v>2.15931612903226</v>
      </c>
      <c r="M23" s="5">
        <v>85.370760000000004</v>
      </c>
      <c r="N23" s="5">
        <v>26.653179600000001</v>
      </c>
      <c r="O23" s="5">
        <f t="shared" si="2"/>
        <v>0.6877949827317924</v>
      </c>
      <c r="P23" s="5">
        <v>0.85977998709677395</v>
      </c>
      <c r="Q23" s="5">
        <v>0.85830421935483903</v>
      </c>
    </row>
    <row r="24" spans="1:17" ht="15.5" x14ac:dyDescent="0.35">
      <c r="A24" s="3" t="s">
        <v>353</v>
      </c>
      <c r="B24" s="3" t="s">
        <v>171</v>
      </c>
      <c r="C24" s="5">
        <v>8</v>
      </c>
      <c r="D24" s="5">
        <v>0</v>
      </c>
      <c r="E24" s="8">
        <v>522</v>
      </c>
      <c r="F24" s="8">
        <v>12888</v>
      </c>
      <c r="G24" s="5">
        <f t="shared" si="0"/>
        <v>4.0502793296089384E-2</v>
      </c>
      <c r="H24" s="8">
        <v>4742</v>
      </c>
      <c r="I24" s="8">
        <v>89</v>
      </c>
      <c r="J24" s="8">
        <v>21244</v>
      </c>
      <c r="K24" s="5">
        <f t="shared" si="1"/>
        <v>4.0697318007662835</v>
      </c>
      <c r="L24" s="5">
        <v>2.7493806451612901</v>
      </c>
      <c r="M24" s="5">
        <v>43.019618399999999</v>
      </c>
      <c r="N24" s="5">
        <v>16.315992000000001</v>
      </c>
      <c r="O24" s="5">
        <f t="shared" si="2"/>
        <v>0.62073136380958682</v>
      </c>
      <c r="P24" s="5">
        <v>0.52632232258064504</v>
      </c>
      <c r="Q24" s="5">
        <v>0.58600834838709703</v>
      </c>
    </row>
    <row r="25" spans="1:17" ht="15.5" x14ac:dyDescent="0.35">
      <c r="A25" s="3" t="s">
        <v>353</v>
      </c>
      <c r="B25" s="3" t="s">
        <v>172</v>
      </c>
      <c r="C25" s="5">
        <v>13</v>
      </c>
      <c r="D25" s="5">
        <v>1</v>
      </c>
      <c r="E25" s="8">
        <v>710</v>
      </c>
      <c r="F25" s="8">
        <v>12255</v>
      </c>
      <c r="G25" s="5">
        <f t="shared" si="0"/>
        <v>5.7935536515707875E-2</v>
      </c>
      <c r="H25" s="8">
        <v>9392</v>
      </c>
      <c r="I25" s="8">
        <v>140</v>
      </c>
      <c r="J25" s="8">
        <v>33321</v>
      </c>
      <c r="K25" s="5">
        <f t="shared" si="1"/>
        <v>4.6930985915492958</v>
      </c>
      <c r="L25" s="5">
        <v>1.95202903225806</v>
      </c>
      <c r="M25" s="5">
        <v>70.193012400000001</v>
      </c>
      <c r="N25" s="5">
        <v>26.550180000000001</v>
      </c>
      <c r="O25" s="5">
        <f t="shared" si="2"/>
        <v>0.62175465773285432</v>
      </c>
      <c r="P25" s="5">
        <v>0.85645741935483899</v>
      </c>
      <c r="Q25" s="5">
        <v>0.77858036129032304</v>
      </c>
    </row>
    <row r="26" spans="1:17" ht="15.5" x14ac:dyDescent="0.35">
      <c r="A26" s="3" t="s">
        <v>353</v>
      </c>
      <c r="B26" s="3" t="s">
        <v>173</v>
      </c>
      <c r="C26" s="5">
        <v>3</v>
      </c>
      <c r="D26" s="5">
        <v>0</v>
      </c>
      <c r="E26" s="8">
        <v>364</v>
      </c>
      <c r="F26" s="8">
        <v>4131</v>
      </c>
      <c r="G26" s="5">
        <f t="shared" si="0"/>
        <v>8.8114258048898567E-2</v>
      </c>
      <c r="H26" s="8">
        <v>2595</v>
      </c>
      <c r="I26" s="8">
        <v>54</v>
      </c>
      <c r="J26" s="8">
        <v>16494</v>
      </c>
      <c r="K26" s="5">
        <f t="shared" si="1"/>
        <v>4.5313186813186812</v>
      </c>
      <c r="L26" s="5">
        <v>2.3358967741935501</v>
      </c>
      <c r="M26" s="5">
        <v>26.656549200000001</v>
      </c>
      <c r="N26" s="5">
        <v>10.0792512</v>
      </c>
      <c r="O26" s="5">
        <f t="shared" si="2"/>
        <v>0.62188462113468157</v>
      </c>
      <c r="P26" s="5">
        <v>0.32513713548387102</v>
      </c>
      <c r="Q26" s="5">
        <v>0.31583101935483898</v>
      </c>
    </row>
    <row r="27" spans="1:17" ht="15.5" x14ac:dyDescent="0.35">
      <c r="A27" s="3" t="s">
        <v>353</v>
      </c>
      <c r="B27" s="3" t="s">
        <v>174</v>
      </c>
      <c r="C27" s="5">
        <v>11</v>
      </c>
      <c r="D27" s="5">
        <v>1</v>
      </c>
      <c r="E27" s="8">
        <v>318</v>
      </c>
      <c r="F27" s="8">
        <v>19063</v>
      </c>
      <c r="G27" s="5">
        <f t="shared" si="0"/>
        <v>1.6681529664795677E-2</v>
      </c>
      <c r="H27" s="8">
        <v>2679</v>
      </c>
      <c r="I27" s="8">
        <v>47</v>
      </c>
      <c r="J27" s="8">
        <v>17582</v>
      </c>
      <c r="K27" s="5">
        <f t="shared" si="1"/>
        <v>5.5289308176100622</v>
      </c>
      <c r="L27" s="5">
        <v>3.1802000000000001</v>
      </c>
      <c r="M27" s="5">
        <v>24.279166799999999</v>
      </c>
      <c r="N27" s="5">
        <v>10.5220944</v>
      </c>
      <c r="O27" s="5">
        <f t="shared" si="2"/>
        <v>0.56662044926516997</v>
      </c>
      <c r="P27" s="5">
        <v>0.33942240000000001</v>
      </c>
      <c r="Q27" s="5">
        <v>0.344474709677419</v>
      </c>
    </row>
    <row r="28" spans="1:17" ht="15.5" x14ac:dyDescent="0.35">
      <c r="A28" s="13" t="s">
        <v>330</v>
      </c>
      <c r="B28" s="13" t="s">
        <v>11</v>
      </c>
      <c r="C28" s="14">
        <v>0</v>
      </c>
      <c r="D28" s="14">
        <v>0</v>
      </c>
      <c r="E28" s="15">
        <v>207</v>
      </c>
      <c r="F28" s="15">
        <v>8169</v>
      </c>
      <c r="G28" s="14">
        <f t="shared" si="0"/>
        <v>2.5339698861549763E-2</v>
      </c>
      <c r="H28" s="15">
        <v>304</v>
      </c>
      <c r="I28" s="15">
        <v>51</v>
      </c>
      <c r="J28" s="15">
        <v>9015</v>
      </c>
      <c r="K28" s="14">
        <f t="shared" si="1"/>
        <v>4.3550724637681153</v>
      </c>
      <c r="L28" s="14">
        <v>3.1573322580645198</v>
      </c>
      <c r="M28" s="14">
        <v>12.6297792</v>
      </c>
      <c r="N28" s="14">
        <v>4.2734303999999996</v>
      </c>
      <c r="O28" s="14">
        <f t="shared" si="2"/>
        <v>0.66163855026064122</v>
      </c>
      <c r="P28" s="14">
        <v>0.137852593548387</v>
      </c>
      <c r="Q28" s="14">
        <v>0.185953006451613</v>
      </c>
    </row>
    <row r="29" spans="1:17" ht="15.5" x14ac:dyDescent="0.35">
      <c r="A29" s="3" t="s">
        <v>330</v>
      </c>
      <c r="B29" s="3" t="s">
        <v>2</v>
      </c>
      <c r="C29" s="5">
        <v>25</v>
      </c>
      <c r="D29" s="5">
        <v>1</v>
      </c>
      <c r="E29" s="8">
        <v>332</v>
      </c>
      <c r="F29" s="8">
        <v>13192</v>
      </c>
      <c r="G29" s="5">
        <f t="shared" si="0"/>
        <v>2.5166767738023045E-2</v>
      </c>
      <c r="H29" s="8">
        <v>2837</v>
      </c>
      <c r="I29" s="8">
        <v>129</v>
      </c>
      <c r="J29" s="8">
        <v>27532</v>
      </c>
      <c r="K29" s="5">
        <f t="shared" si="1"/>
        <v>8.2927710843373479</v>
      </c>
      <c r="L29" s="5">
        <v>1.8740645161290299</v>
      </c>
      <c r="M29" s="5">
        <v>51.896375999999997</v>
      </c>
      <c r="N29" s="5">
        <v>20.0569284</v>
      </c>
      <c r="O29" s="5">
        <f t="shared" si="2"/>
        <v>0.61351967235631255</v>
      </c>
      <c r="P29" s="5">
        <v>0.64699769032258103</v>
      </c>
      <c r="Q29" s="5">
        <v>0.63351615483871004</v>
      </c>
    </row>
    <row r="30" spans="1:17" ht="15.5" x14ac:dyDescent="0.35">
      <c r="A30" s="3" t="s">
        <v>330</v>
      </c>
      <c r="B30" s="3" t="s">
        <v>3</v>
      </c>
      <c r="C30" s="5">
        <v>17</v>
      </c>
      <c r="D30" s="5">
        <v>1</v>
      </c>
      <c r="E30" s="8">
        <v>372</v>
      </c>
      <c r="F30" s="8">
        <v>14277</v>
      </c>
      <c r="G30" s="5">
        <f t="shared" si="0"/>
        <v>2.6055894095398192E-2</v>
      </c>
      <c r="H30" s="8">
        <v>633</v>
      </c>
      <c r="I30" s="8">
        <v>119</v>
      </c>
      <c r="J30" s="8">
        <v>15882</v>
      </c>
      <c r="K30" s="5">
        <f t="shared" si="1"/>
        <v>4.2693548387096776</v>
      </c>
      <c r="L30" s="5">
        <v>2.4424838709677399</v>
      </c>
      <c r="M30" s="5">
        <v>19.6737012</v>
      </c>
      <c r="N30" s="5">
        <v>6.8649443999999997</v>
      </c>
      <c r="O30" s="5">
        <f t="shared" si="2"/>
        <v>0.65105984226292923</v>
      </c>
      <c r="P30" s="5">
        <v>0.22144981935483901</v>
      </c>
      <c r="Q30" s="5">
        <v>0.28830774193548397</v>
      </c>
    </row>
    <row r="31" spans="1:17" ht="15.5" x14ac:dyDescent="0.35">
      <c r="A31" s="3" t="s">
        <v>330</v>
      </c>
      <c r="B31" s="3" t="s">
        <v>4</v>
      </c>
      <c r="C31" s="5">
        <v>8</v>
      </c>
      <c r="D31" s="5">
        <v>0</v>
      </c>
      <c r="E31" s="8">
        <v>304</v>
      </c>
      <c r="F31" s="8">
        <v>19609</v>
      </c>
      <c r="G31" s="5">
        <f t="shared" si="0"/>
        <v>1.550308531796624E-2</v>
      </c>
      <c r="H31" s="8">
        <v>416</v>
      </c>
      <c r="I31" s="8">
        <v>51</v>
      </c>
      <c r="J31" s="8">
        <v>9898</v>
      </c>
      <c r="K31" s="5">
        <f t="shared" si="1"/>
        <v>3.2559210526315789</v>
      </c>
      <c r="L31" s="5">
        <v>3.0583999999999998</v>
      </c>
      <c r="M31" s="5">
        <v>21.3581124</v>
      </c>
      <c r="N31" s="5">
        <v>7.3140083999999996</v>
      </c>
      <c r="O31" s="5">
        <f t="shared" si="2"/>
        <v>0.65755361414803681</v>
      </c>
      <c r="P31" s="5">
        <v>0.23593575483870999</v>
      </c>
      <c r="Q31" s="5">
        <v>0.27422314838709699</v>
      </c>
    </row>
    <row r="32" spans="1:17" ht="15.5" x14ac:dyDescent="0.35">
      <c r="A32" s="3" t="s">
        <v>330</v>
      </c>
      <c r="B32" s="3" t="s">
        <v>5</v>
      </c>
      <c r="C32" s="5">
        <v>7</v>
      </c>
      <c r="D32" s="5">
        <v>0</v>
      </c>
      <c r="E32" s="8">
        <v>234</v>
      </c>
      <c r="F32" s="8">
        <v>11118</v>
      </c>
      <c r="G32" s="5">
        <f t="shared" si="0"/>
        <v>2.1046950890447922E-2</v>
      </c>
      <c r="H32" s="8">
        <v>457</v>
      </c>
      <c r="I32" s="8">
        <v>49</v>
      </c>
      <c r="J32" s="8">
        <v>14700</v>
      </c>
      <c r="K32" s="5">
        <f t="shared" si="1"/>
        <v>6.2820512820512819</v>
      </c>
      <c r="L32" s="5">
        <v>2.9243677419354799</v>
      </c>
      <c r="M32" s="5">
        <v>14.8034628</v>
      </c>
      <c r="N32" s="5">
        <v>5.3259444</v>
      </c>
      <c r="O32" s="5">
        <f t="shared" si="2"/>
        <v>0.64022306996981815</v>
      </c>
      <c r="P32" s="5">
        <v>0.171804658064516</v>
      </c>
      <c r="Q32" s="5">
        <v>0.201618929032258</v>
      </c>
    </row>
    <row r="33" spans="1:17" ht="15.5" x14ac:dyDescent="0.35">
      <c r="A33" s="3" t="s">
        <v>330</v>
      </c>
      <c r="B33" s="3" t="s">
        <v>6</v>
      </c>
      <c r="C33" s="5">
        <v>7</v>
      </c>
      <c r="D33" s="5">
        <v>1</v>
      </c>
      <c r="E33" s="8">
        <v>270</v>
      </c>
      <c r="F33" s="8">
        <v>27117</v>
      </c>
      <c r="G33" s="5">
        <f t="shared" si="0"/>
        <v>9.9568536342515765E-3</v>
      </c>
      <c r="H33" s="8">
        <v>743</v>
      </c>
      <c r="I33" s="8">
        <v>44</v>
      </c>
      <c r="J33" s="8">
        <v>9616</v>
      </c>
      <c r="K33" s="5">
        <f t="shared" si="1"/>
        <v>3.5614814814814815</v>
      </c>
      <c r="L33" s="5">
        <v>2.8690161290322602</v>
      </c>
      <c r="M33" s="5">
        <v>14.611103999999999</v>
      </c>
      <c r="N33" s="5">
        <v>4.8954456000000004</v>
      </c>
      <c r="O33" s="5">
        <f t="shared" si="2"/>
        <v>0.66495032818875277</v>
      </c>
      <c r="P33" s="5">
        <v>0.15791759999999999</v>
      </c>
      <c r="Q33" s="5">
        <v>0.17628735483871</v>
      </c>
    </row>
    <row r="34" spans="1:17" ht="15.5" x14ac:dyDescent="0.35">
      <c r="A34" s="3" t="s">
        <v>330</v>
      </c>
      <c r="B34" s="3" t="s">
        <v>7</v>
      </c>
      <c r="C34" s="5">
        <v>14</v>
      </c>
      <c r="D34" s="5">
        <v>1</v>
      </c>
      <c r="E34" s="8">
        <v>131</v>
      </c>
      <c r="F34" s="8">
        <v>38592</v>
      </c>
      <c r="G34" s="5">
        <f t="shared" si="0"/>
        <v>3.3944859038142622E-3</v>
      </c>
      <c r="H34" s="8">
        <v>449</v>
      </c>
      <c r="I34" s="8">
        <v>47</v>
      </c>
      <c r="J34" s="8">
        <v>9844</v>
      </c>
      <c r="K34" s="5">
        <f t="shared" si="1"/>
        <v>7.5145038167938933</v>
      </c>
      <c r="L34" s="5">
        <v>2.82696129032258</v>
      </c>
      <c r="M34" s="5">
        <v>7.2529344</v>
      </c>
      <c r="N34" s="5">
        <v>2.5372116</v>
      </c>
      <c r="O34" s="5">
        <f t="shared" si="2"/>
        <v>0.65018136659280967</v>
      </c>
      <c r="P34" s="5">
        <v>8.1845535483870996E-2</v>
      </c>
      <c r="Q34" s="5">
        <v>9.0135754838709697E-2</v>
      </c>
    </row>
    <row r="35" spans="1:17" ht="15.5" x14ac:dyDescent="0.35">
      <c r="A35" s="13" t="s">
        <v>330</v>
      </c>
      <c r="B35" s="13" t="s">
        <v>12</v>
      </c>
      <c r="C35" s="14">
        <v>6</v>
      </c>
      <c r="D35" s="14">
        <v>1</v>
      </c>
      <c r="E35" s="15">
        <v>75</v>
      </c>
      <c r="F35" s="15">
        <v>45000</v>
      </c>
      <c r="G35" s="14">
        <f t="shared" si="0"/>
        <v>1.6666666666666668E-3</v>
      </c>
      <c r="H35" s="15">
        <v>218</v>
      </c>
      <c r="I35" s="15">
        <v>35</v>
      </c>
      <c r="J35" s="15">
        <v>2678</v>
      </c>
      <c r="K35" s="14">
        <f t="shared" si="1"/>
        <v>3.5706666666666669</v>
      </c>
      <c r="L35" s="14">
        <v>2.2015548387096802</v>
      </c>
      <c r="M35" s="14">
        <v>5.1282395999999997</v>
      </c>
      <c r="N35" s="14">
        <v>1.3509180000000001</v>
      </c>
      <c r="O35" s="14">
        <f t="shared" si="2"/>
        <v>0.73657276075790223</v>
      </c>
      <c r="P35" s="14">
        <v>4.3577999999999999E-2</v>
      </c>
      <c r="Q35" s="14">
        <v>4.28275741935484E-2</v>
      </c>
    </row>
    <row r="36" spans="1:17" ht="15.5" x14ac:dyDescent="0.35">
      <c r="A36" s="3" t="s">
        <v>330</v>
      </c>
      <c r="B36" s="3" t="s">
        <v>8</v>
      </c>
      <c r="C36" s="5">
        <v>16</v>
      </c>
      <c r="D36" s="5">
        <v>0</v>
      </c>
      <c r="E36" s="8">
        <v>181</v>
      </c>
      <c r="F36" s="8">
        <v>20099</v>
      </c>
      <c r="G36" s="5">
        <f t="shared" si="0"/>
        <v>9.0054231553808647E-3</v>
      </c>
      <c r="H36" s="8">
        <v>486</v>
      </c>
      <c r="I36" s="8">
        <v>97</v>
      </c>
      <c r="J36" s="8">
        <v>8014</v>
      </c>
      <c r="K36" s="5">
        <f t="shared" si="1"/>
        <v>4.4276243093922654</v>
      </c>
      <c r="L36" s="5">
        <v>2.7373387096774202</v>
      </c>
      <c r="M36" s="5">
        <v>15.76746</v>
      </c>
      <c r="N36" s="5">
        <v>5.6320595999999998</v>
      </c>
      <c r="O36" s="5">
        <f t="shared" si="2"/>
        <v>0.64280489057844448</v>
      </c>
      <c r="P36" s="5">
        <v>0.18167934193548399</v>
      </c>
      <c r="Q36" s="5">
        <v>0.19273505806451599</v>
      </c>
    </row>
    <row r="37" spans="1:17" ht="15.5" x14ac:dyDescent="0.35">
      <c r="A37" s="3" t="s">
        <v>330</v>
      </c>
      <c r="B37" s="3" t="s">
        <v>9</v>
      </c>
      <c r="C37" s="5">
        <v>4</v>
      </c>
      <c r="D37" s="5">
        <v>1</v>
      </c>
      <c r="E37" s="8">
        <v>45</v>
      </c>
      <c r="F37" s="8">
        <v>8928</v>
      </c>
      <c r="G37" s="5">
        <f t="shared" si="0"/>
        <v>5.0403225806451612E-3</v>
      </c>
      <c r="H37" s="8">
        <v>340</v>
      </c>
      <c r="I37" s="8">
        <v>17</v>
      </c>
      <c r="J37" s="8">
        <v>2795</v>
      </c>
      <c r="K37" s="5">
        <f t="shared" si="1"/>
        <v>6.2111111111111112</v>
      </c>
      <c r="L37" s="5">
        <v>3.4173483870967698</v>
      </c>
      <c r="M37" s="5">
        <v>4.3802208</v>
      </c>
      <c r="N37" s="5">
        <v>1.6295580000000001</v>
      </c>
      <c r="O37" s="5">
        <f t="shared" si="2"/>
        <v>0.62797354873069411</v>
      </c>
      <c r="P37" s="5">
        <v>5.2566387096774199E-2</v>
      </c>
      <c r="Q37" s="5">
        <v>5.3137045161290301E-2</v>
      </c>
    </row>
    <row r="38" spans="1:17" ht="15.5" x14ac:dyDescent="0.35">
      <c r="A38" s="3" t="s">
        <v>330</v>
      </c>
      <c r="B38" s="3" t="s">
        <v>10</v>
      </c>
      <c r="C38" s="5">
        <v>5</v>
      </c>
      <c r="D38" s="5">
        <v>1</v>
      </c>
      <c r="E38" s="8">
        <v>286</v>
      </c>
      <c r="F38" s="8">
        <v>27839</v>
      </c>
      <c r="G38" s="5">
        <f t="shared" si="0"/>
        <v>1.0273357520025863E-2</v>
      </c>
      <c r="H38" s="8">
        <v>445</v>
      </c>
      <c r="I38" s="8">
        <v>59</v>
      </c>
      <c r="J38" s="8">
        <v>9315</v>
      </c>
      <c r="K38" s="5">
        <f t="shared" si="1"/>
        <v>3.2569930069930071</v>
      </c>
      <c r="L38" s="5">
        <v>2.83465161290323</v>
      </c>
      <c r="M38" s="5">
        <v>12.818865600000001</v>
      </c>
      <c r="N38" s="5">
        <v>3.6293508000000001</v>
      </c>
      <c r="O38" s="5">
        <f t="shared" si="2"/>
        <v>0.71687426069901217</v>
      </c>
      <c r="P38" s="5">
        <v>0.117075832258065</v>
      </c>
      <c r="Q38" s="5">
        <v>0.141644438709677</v>
      </c>
    </row>
    <row r="39" spans="1:17" ht="15.5" x14ac:dyDescent="0.35">
      <c r="A39" s="3" t="s">
        <v>75</v>
      </c>
      <c r="B39" s="3" t="s">
        <v>76</v>
      </c>
      <c r="C39" s="5">
        <v>28</v>
      </c>
      <c r="D39" s="5">
        <v>1</v>
      </c>
      <c r="E39" s="8">
        <v>251</v>
      </c>
      <c r="F39" s="8">
        <v>2460</v>
      </c>
      <c r="G39" s="5">
        <f t="shared" si="0"/>
        <v>0.10203252032520325</v>
      </c>
      <c r="H39" s="8">
        <v>9482</v>
      </c>
      <c r="I39" s="8">
        <v>110</v>
      </c>
      <c r="J39" s="8">
        <v>32181</v>
      </c>
      <c r="K39" s="5">
        <f t="shared" si="1"/>
        <v>12.821115537848605</v>
      </c>
      <c r="L39" s="5">
        <v>1.12275161290323</v>
      </c>
      <c r="M39" s="5">
        <v>241.14017519999999</v>
      </c>
      <c r="N39" s="5">
        <v>76.102383599999996</v>
      </c>
      <c r="O39" s="5">
        <f t="shared" si="2"/>
        <v>0.6844060367092244</v>
      </c>
      <c r="P39" s="5">
        <v>2.4549156000000001</v>
      </c>
      <c r="Q39" s="5">
        <v>3.0888874451612902</v>
      </c>
    </row>
    <row r="40" spans="1:17" ht="15.5" x14ac:dyDescent="0.35">
      <c r="A40" s="3" t="s">
        <v>75</v>
      </c>
      <c r="B40" s="3" t="s">
        <v>77</v>
      </c>
      <c r="C40" s="5">
        <v>7</v>
      </c>
      <c r="D40" s="5">
        <v>0</v>
      </c>
      <c r="E40" s="8">
        <v>183</v>
      </c>
      <c r="F40" s="8">
        <v>1784</v>
      </c>
      <c r="G40" s="5">
        <f t="shared" si="0"/>
        <v>0.10257847533632287</v>
      </c>
      <c r="H40" s="8">
        <v>3101</v>
      </c>
      <c r="I40" s="8">
        <v>67</v>
      </c>
      <c r="J40" s="8">
        <v>16008</v>
      </c>
      <c r="K40" s="5">
        <f t="shared" si="1"/>
        <v>8.747540983606557</v>
      </c>
      <c r="L40" s="5">
        <v>1.18991612903226</v>
      </c>
      <c r="M40" s="5">
        <v>102.0890304</v>
      </c>
      <c r="N40" s="5">
        <v>33.100909199999997</v>
      </c>
      <c r="O40" s="5">
        <f t="shared" si="2"/>
        <v>0.67576429053831033</v>
      </c>
      <c r="P40" s="5">
        <v>1.0677712645161299</v>
      </c>
      <c r="Q40" s="5">
        <v>1.09986189677419</v>
      </c>
    </row>
    <row r="41" spans="1:17" ht="15.5" x14ac:dyDescent="0.35">
      <c r="A41" s="3" t="s">
        <v>75</v>
      </c>
      <c r="B41" s="3" t="s">
        <v>78</v>
      </c>
      <c r="C41" s="5">
        <v>15</v>
      </c>
      <c r="D41" s="5">
        <v>1</v>
      </c>
      <c r="E41" s="8">
        <v>461</v>
      </c>
      <c r="F41" s="8">
        <v>3798</v>
      </c>
      <c r="G41" s="5">
        <f t="shared" si="0"/>
        <v>0.12137967351237493</v>
      </c>
      <c r="H41" s="8">
        <v>10751</v>
      </c>
      <c r="I41" s="8">
        <v>127</v>
      </c>
      <c r="J41" s="8">
        <v>35530</v>
      </c>
      <c r="K41" s="5">
        <f t="shared" si="1"/>
        <v>7.7071583514099782</v>
      </c>
      <c r="L41" s="5">
        <v>1.37275483870968</v>
      </c>
      <c r="M41" s="5">
        <v>193.59055079999999</v>
      </c>
      <c r="N41" s="5">
        <v>61.554589200000002</v>
      </c>
      <c r="O41" s="5">
        <f t="shared" si="2"/>
        <v>0.68203722265560085</v>
      </c>
      <c r="P41" s="5">
        <v>1.98563190967742</v>
      </c>
      <c r="Q41" s="5">
        <v>2.0416034322580598</v>
      </c>
    </row>
    <row r="42" spans="1:17" ht="15.5" x14ac:dyDescent="0.35">
      <c r="A42" s="3" t="s">
        <v>75</v>
      </c>
      <c r="B42" s="3" t="s">
        <v>79</v>
      </c>
      <c r="C42" s="5">
        <v>20</v>
      </c>
      <c r="D42" s="5">
        <v>1</v>
      </c>
      <c r="E42" s="8">
        <v>954</v>
      </c>
      <c r="F42" s="8">
        <v>7434</v>
      </c>
      <c r="G42" s="5">
        <f t="shared" si="0"/>
        <v>0.12832929782082325</v>
      </c>
      <c r="H42" s="8">
        <v>23629</v>
      </c>
      <c r="I42" s="8">
        <v>269</v>
      </c>
      <c r="J42" s="8">
        <v>90940</v>
      </c>
      <c r="K42" s="5">
        <f t="shared" si="1"/>
        <v>9.5324947589098539</v>
      </c>
      <c r="L42" s="5">
        <v>1.3694548387096801</v>
      </c>
      <c r="M42" s="5">
        <v>344.15746560000002</v>
      </c>
      <c r="N42" s="5">
        <v>124.62880319999999</v>
      </c>
      <c r="O42" s="5">
        <f t="shared" si="2"/>
        <v>0.63787273077826856</v>
      </c>
      <c r="P42" s="5">
        <v>4.0202839741935499</v>
      </c>
      <c r="Q42" s="5">
        <v>3.9100978451612902</v>
      </c>
    </row>
    <row r="43" spans="1:17" ht="15.5" x14ac:dyDescent="0.35">
      <c r="A43" s="3" t="s">
        <v>75</v>
      </c>
      <c r="B43" s="3" t="s">
        <v>80</v>
      </c>
      <c r="C43" s="5">
        <v>17</v>
      </c>
      <c r="D43" s="5">
        <v>1</v>
      </c>
      <c r="E43" s="8">
        <v>390</v>
      </c>
      <c r="F43" s="8">
        <v>11347</v>
      </c>
      <c r="G43" s="5">
        <f t="shared" si="0"/>
        <v>3.4370318145765404E-2</v>
      </c>
      <c r="H43" s="8">
        <v>4177</v>
      </c>
      <c r="I43" s="8">
        <v>78</v>
      </c>
      <c r="J43" s="8">
        <v>16354</v>
      </c>
      <c r="K43" s="5">
        <f t="shared" si="1"/>
        <v>4.1933333333333334</v>
      </c>
      <c r="L43" s="5">
        <v>1.6068548387096799</v>
      </c>
      <c r="M43" s="5">
        <v>112.8275568</v>
      </c>
      <c r="N43" s="5">
        <v>40.509849600000003</v>
      </c>
      <c r="O43" s="5">
        <f t="shared" si="2"/>
        <v>0.6409578408951242</v>
      </c>
      <c r="P43" s="5">
        <v>1.30676934193548</v>
      </c>
      <c r="Q43" s="5">
        <v>1.3808252903225799</v>
      </c>
    </row>
    <row r="44" spans="1:17" ht="15.5" x14ac:dyDescent="0.35">
      <c r="A44" s="3" t="s">
        <v>75</v>
      </c>
      <c r="B44" s="3" t="s">
        <v>81</v>
      </c>
      <c r="C44" s="5">
        <v>5</v>
      </c>
      <c r="D44" s="5">
        <v>1</v>
      </c>
      <c r="E44" s="8">
        <v>707</v>
      </c>
      <c r="F44" s="8">
        <v>5266</v>
      </c>
      <c r="G44" s="5">
        <f t="shared" si="0"/>
        <v>0.13425750094948727</v>
      </c>
      <c r="H44" s="8">
        <v>2102</v>
      </c>
      <c r="I44" s="8">
        <v>66</v>
      </c>
      <c r="J44" s="8">
        <v>15272</v>
      </c>
      <c r="K44" s="5">
        <f t="shared" si="1"/>
        <v>2.16011315417256</v>
      </c>
      <c r="L44" s="5">
        <v>2.8785645161290301</v>
      </c>
      <c r="M44" s="5">
        <v>52.314498</v>
      </c>
      <c r="N44" s="5">
        <v>20.743387200000001</v>
      </c>
      <c r="O44" s="5">
        <f t="shared" si="2"/>
        <v>0.60348683456735075</v>
      </c>
      <c r="P44" s="5">
        <v>0.66914152258064497</v>
      </c>
      <c r="Q44" s="5">
        <v>0.80769123870967696</v>
      </c>
    </row>
    <row r="45" spans="1:17" ht="15.5" x14ac:dyDescent="0.35">
      <c r="A45" s="3" t="s">
        <v>75</v>
      </c>
      <c r="B45" s="3" t="s">
        <v>82</v>
      </c>
      <c r="C45" s="5">
        <v>9</v>
      </c>
      <c r="D45" s="5">
        <v>1</v>
      </c>
      <c r="E45" s="8">
        <v>546</v>
      </c>
      <c r="F45" s="8">
        <v>15865</v>
      </c>
      <c r="G45" s="5">
        <f t="shared" si="0"/>
        <v>3.4415379766782224E-2</v>
      </c>
      <c r="H45" s="8">
        <v>1187</v>
      </c>
      <c r="I45" s="8">
        <v>49</v>
      </c>
      <c r="J45" s="8">
        <v>13430</v>
      </c>
      <c r="K45" s="5">
        <f t="shared" si="1"/>
        <v>2.4597069597069594</v>
      </c>
      <c r="L45" s="5">
        <v>3.5308000000000002</v>
      </c>
      <c r="M45" s="5">
        <v>45.410608799999999</v>
      </c>
      <c r="N45" s="5">
        <v>20.8186848</v>
      </c>
      <c r="O45" s="5">
        <f t="shared" si="2"/>
        <v>0.54154578962614575</v>
      </c>
      <c r="P45" s="5">
        <v>0.67157047741935505</v>
      </c>
      <c r="Q45" s="5">
        <v>0.70369664516129005</v>
      </c>
    </row>
    <row r="46" spans="1:17" ht="15.5" x14ac:dyDescent="0.35">
      <c r="A46" s="3" t="s">
        <v>75</v>
      </c>
      <c r="B46" s="3" t="s">
        <v>83</v>
      </c>
      <c r="C46" s="5">
        <v>4</v>
      </c>
      <c r="D46" s="5">
        <v>0</v>
      </c>
      <c r="E46" s="8">
        <v>572</v>
      </c>
      <c r="F46" s="8">
        <v>2199</v>
      </c>
      <c r="G46" s="5">
        <f t="shared" si="0"/>
        <v>0.26011823556161889</v>
      </c>
      <c r="H46" s="8">
        <v>2694</v>
      </c>
      <c r="I46" s="8">
        <v>52</v>
      </c>
      <c r="J46" s="8">
        <v>16872</v>
      </c>
      <c r="K46" s="5">
        <f t="shared" si="1"/>
        <v>2.9496503496503497</v>
      </c>
      <c r="L46" s="5">
        <v>2.15548064516129</v>
      </c>
      <c r="M46" s="5">
        <v>54.540961199999998</v>
      </c>
      <c r="N46" s="5">
        <v>20.203732800000001</v>
      </c>
      <c r="O46" s="5">
        <f t="shared" si="2"/>
        <v>0.62956771652935228</v>
      </c>
      <c r="P46" s="5">
        <v>0.65173331612903196</v>
      </c>
      <c r="Q46" s="5">
        <v>0.65008927741935496</v>
      </c>
    </row>
    <row r="47" spans="1:17" ht="15.5" x14ac:dyDescent="0.35">
      <c r="A47" s="3" t="s">
        <v>75</v>
      </c>
      <c r="B47" s="3" t="s">
        <v>84</v>
      </c>
      <c r="C47" s="5">
        <v>6</v>
      </c>
      <c r="D47" s="5">
        <v>0</v>
      </c>
      <c r="E47" s="8">
        <v>357</v>
      </c>
      <c r="F47" s="8">
        <v>4865</v>
      </c>
      <c r="G47" s="5">
        <f t="shared" si="0"/>
        <v>7.3381294964028773E-2</v>
      </c>
      <c r="H47" s="8">
        <v>1080</v>
      </c>
      <c r="I47" s="8">
        <v>41</v>
      </c>
      <c r="J47" s="8">
        <v>7618</v>
      </c>
      <c r="K47" s="5">
        <f t="shared" si="1"/>
        <v>2.1338935574229692</v>
      </c>
      <c r="L47" s="5">
        <v>2.8742322580645201</v>
      </c>
      <c r="M47" s="5">
        <v>25.4475108</v>
      </c>
      <c r="N47" s="5">
        <v>10.316030400000001</v>
      </c>
      <c r="O47" s="5">
        <f t="shared" si="2"/>
        <v>0.59461534446033126</v>
      </c>
      <c r="P47" s="5">
        <v>0.33277517419354802</v>
      </c>
      <c r="Q47" s="5">
        <v>0.41130963870967702</v>
      </c>
    </row>
    <row r="48" spans="1:17" s="12" customFormat="1" ht="15.5" x14ac:dyDescent="0.35">
      <c r="A48" s="3" t="s">
        <v>75</v>
      </c>
      <c r="B48" s="3" t="s">
        <v>85</v>
      </c>
      <c r="C48" s="5">
        <v>9</v>
      </c>
      <c r="D48" s="5">
        <v>0</v>
      </c>
      <c r="E48" s="8">
        <v>400</v>
      </c>
      <c r="F48" s="8">
        <v>9507</v>
      </c>
      <c r="G48" s="5">
        <f t="shared" si="0"/>
        <v>4.2074261070789945E-2</v>
      </c>
      <c r="H48" s="8">
        <v>3147</v>
      </c>
      <c r="I48" s="8">
        <v>48</v>
      </c>
      <c r="J48" s="8">
        <v>17632</v>
      </c>
      <c r="K48" s="5">
        <f t="shared" si="1"/>
        <v>4.4079999999999995</v>
      </c>
      <c r="L48" s="5">
        <v>2.3174032258064501</v>
      </c>
      <c r="M48" s="5">
        <v>54.402710399999997</v>
      </c>
      <c r="N48" s="5">
        <v>17.002159200000001</v>
      </c>
      <c r="O48" s="5">
        <f t="shared" si="2"/>
        <v>0.68747587987822012</v>
      </c>
      <c r="P48" s="5">
        <v>0.54845674838709702</v>
      </c>
      <c r="Q48" s="5">
        <v>0.58744230967741895</v>
      </c>
    </row>
    <row r="49" spans="1:17" ht="15.5" x14ac:dyDescent="0.35">
      <c r="A49" s="3" t="s">
        <v>75</v>
      </c>
      <c r="B49" s="3" t="s">
        <v>86</v>
      </c>
      <c r="C49" s="5">
        <v>6</v>
      </c>
      <c r="D49" s="5">
        <v>0</v>
      </c>
      <c r="E49" s="8">
        <v>373</v>
      </c>
      <c r="F49" s="8">
        <v>15654</v>
      </c>
      <c r="G49" s="5">
        <f t="shared" si="0"/>
        <v>2.3827775648396575E-2</v>
      </c>
      <c r="H49" s="8">
        <v>1080</v>
      </c>
      <c r="I49" s="8">
        <v>61</v>
      </c>
      <c r="J49" s="8">
        <v>10243</v>
      </c>
      <c r="K49" s="5">
        <f t="shared" si="1"/>
        <v>2.7461126005361929</v>
      </c>
      <c r="L49" s="5">
        <v>3.0105774193548398</v>
      </c>
      <c r="M49" s="5">
        <v>37.398801599999999</v>
      </c>
      <c r="N49" s="5">
        <v>15.5210256</v>
      </c>
      <c r="O49" s="5">
        <f t="shared" si="2"/>
        <v>0.58498601730596622</v>
      </c>
      <c r="P49" s="5">
        <v>0.50067824516129</v>
      </c>
      <c r="Q49" s="5">
        <v>0.52330807741935503</v>
      </c>
    </row>
    <row r="50" spans="1:17" ht="15.5" x14ac:dyDescent="0.35">
      <c r="A50" s="3" t="s">
        <v>75</v>
      </c>
      <c r="B50" s="3" t="s">
        <v>87</v>
      </c>
      <c r="C50" s="5">
        <v>13</v>
      </c>
      <c r="D50" s="5">
        <v>1</v>
      </c>
      <c r="E50" s="8">
        <v>551</v>
      </c>
      <c r="F50" s="8">
        <v>1997</v>
      </c>
      <c r="G50" s="5">
        <f t="shared" si="0"/>
        <v>0.27591387080620933</v>
      </c>
      <c r="H50" s="8">
        <v>26927</v>
      </c>
      <c r="I50" s="8">
        <v>144</v>
      </c>
      <c r="J50" s="8">
        <v>47366</v>
      </c>
      <c r="K50" s="5">
        <f t="shared" si="1"/>
        <v>8.5963702359346641</v>
      </c>
      <c r="L50" s="5">
        <v>1.1042483870967701</v>
      </c>
      <c r="M50" s="5">
        <v>327.4149276</v>
      </c>
      <c r="N50" s="5">
        <v>121.5138348</v>
      </c>
      <c r="O50" s="5">
        <f t="shared" si="2"/>
        <v>0.62886898379767087</v>
      </c>
      <c r="P50" s="5">
        <v>3.9198011225806502</v>
      </c>
      <c r="Q50" s="5">
        <v>3.7507431483870999</v>
      </c>
    </row>
    <row r="51" spans="1:17" ht="15.5" x14ac:dyDescent="0.35">
      <c r="A51" s="3" t="s">
        <v>75</v>
      </c>
      <c r="B51" s="3" t="s">
        <v>88</v>
      </c>
      <c r="C51" s="5">
        <v>10</v>
      </c>
      <c r="D51" s="5">
        <v>0</v>
      </c>
      <c r="E51" s="8">
        <v>446</v>
      </c>
      <c r="F51" s="8">
        <v>19036</v>
      </c>
      <c r="G51" s="5">
        <f t="shared" si="0"/>
        <v>2.3429291868039503E-2</v>
      </c>
      <c r="H51" s="8">
        <v>1698</v>
      </c>
      <c r="I51" s="8">
        <v>62</v>
      </c>
      <c r="J51" s="8">
        <v>12665</v>
      </c>
      <c r="K51" s="5">
        <f t="shared" si="1"/>
        <v>2.8396860986547088</v>
      </c>
      <c r="L51" s="5">
        <v>3.0261258064516099</v>
      </c>
      <c r="M51" s="5">
        <v>49.860781199999998</v>
      </c>
      <c r="N51" s="5">
        <v>18.941202000000001</v>
      </c>
      <c r="O51" s="5">
        <f t="shared" si="2"/>
        <v>0.62011822630649038</v>
      </c>
      <c r="P51" s="5">
        <v>0.61100651612903201</v>
      </c>
      <c r="Q51" s="5">
        <v>0.82905433548387097</v>
      </c>
    </row>
    <row r="52" spans="1:17" ht="15.5" x14ac:dyDescent="0.35">
      <c r="A52" s="3" t="s">
        <v>75</v>
      </c>
      <c r="B52" s="3" t="s">
        <v>89</v>
      </c>
      <c r="C52" s="5">
        <v>8</v>
      </c>
      <c r="D52" s="5">
        <v>1</v>
      </c>
      <c r="E52" s="8">
        <v>854</v>
      </c>
      <c r="F52" s="8">
        <v>13263</v>
      </c>
      <c r="G52" s="5">
        <f t="shared" si="0"/>
        <v>6.4389655432405934E-2</v>
      </c>
      <c r="H52" s="8">
        <v>3065</v>
      </c>
      <c r="I52" s="8">
        <v>111</v>
      </c>
      <c r="J52" s="8">
        <v>28501</v>
      </c>
      <c r="K52" s="5">
        <f t="shared" si="1"/>
        <v>3.3373536299765809</v>
      </c>
      <c r="L52" s="5">
        <v>3.8168935483871</v>
      </c>
      <c r="M52" s="5">
        <v>55.799539199999998</v>
      </c>
      <c r="N52" s="5">
        <v>24.9583032</v>
      </c>
      <c r="O52" s="5">
        <f t="shared" si="2"/>
        <v>0.55271488693584048</v>
      </c>
      <c r="P52" s="5">
        <v>0.80510655483870996</v>
      </c>
      <c r="Q52" s="5">
        <v>0.93263609032258099</v>
      </c>
    </row>
    <row r="53" spans="1:17" ht="15.5" x14ac:dyDescent="0.35">
      <c r="A53" s="3" t="s">
        <v>75</v>
      </c>
      <c r="B53" s="3" t="s">
        <v>90</v>
      </c>
      <c r="C53" s="5">
        <v>4</v>
      </c>
      <c r="D53" s="5">
        <v>0</v>
      </c>
      <c r="E53" s="8">
        <v>276</v>
      </c>
      <c r="F53" s="8">
        <v>3146</v>
      </c>
      <c r="G53" s="5">
        <f t="shared" si="0"/>
        <v>8.773045136681501E-2</v>
      </c>
      <c r="H53" s="8">
        <v>1081</v>
      </c>
      <c r="I53" s="8">
        <v>32</v>
      </c>
      <c r="J53" s="8">
        <v>4984</v>
      </c>
      <c r="K53" s="5">
        <f t="shared" si="1"/>
        <v>1.8057971014492755</v>
      </c>
      <c r="L53" s="5">
        <v>2.31463548387097</v>
      </c>
      <c r="M53" s="5">
        <v>25.289981999999998</v>
      </c>
      <c r="N53" s="5">
        <v>9.330228</v>
      </c>
      <c r="O53" s="5">
        <f t="shared" si="2"/>
        <v>0.63107020004996439</v>
      </c>
      <c r="P53" s="5">
        <v>0.30097509677419398</v>
      </c>
      <c r="Q53" s="5">
        <v>0.33278980645161299</v>
      </c>
    </row>
    <row r="54" spans="1:17" ht="15.5" x14ac:dyDescent="0.35">
      <c r="A54" s="3" t="s">
        <v>75</v>
      </c>
      <c r="B54" s="3" t="s">
        <v>91</v>
      </c>
      <c r="C54" s="5">
        <v>11</v>
      </c>
      <c r="D54" s="5">
        <v>1</v>
      </c>
      <c r="E54" s="8">
        <v>133</v>
      </c>
      <c r="F54" s="8">
        <v>1736</v>
      </c>
      <c r="G54" s="5">
        <f t="shared" si="0"/>
        <v>7.6612903225806453E-2</v>
      </c>
      <c r="H54" s="8">
        <v>3436</v>
      </c>
      <c r="I54" s="8">
        <v>44</v>
      </c>
      <c r="J54" s="8">
        <v>9186</v>
      </c>
      <c r="K54" s="5">
        <f t="shared" si="1"/>
        <v>6.9067669172932336</v>
      </c>
      <c r="L54" s="5">
        <v>1.7262387096774201</v>
      </c>
      <c r="M54" s="5">
        <v>63.847958400000003</v>
      </c>
      <c r="N54" s="5">
        <v>26.042212800000001</v>
      </c>
      <c r="O54" s="5">
        <f t="shared" si="2"/>
        <v>0.59212144831869828</v>
      </c>
      <c r="P54" s="5">
        <v>0.84007138064516096</v>
      </c>
      <c r="Q54" s="5">
        <v>0.81953709677419395</v>
      </c>
    </row>
    <row r="55" spans="1:17" ht="15.5" x14ac:dyDescent="0.35">
      <c r="A55" s="3" t="s">
        <v>75</v>
      </c>
      <c r="B55" s="3" t="s">
        <v>92</v>
      </c>
      <c r="C55" s="5">
        <v>10</v>
      </c>
      <c r="D55" s="5">
        <v>0</v>
      </c>
      <c r="E55" s="8">
        <v>454</v>
      </c>
      <c r="F55" s="8">
        <v>14891</v>
      </c>
      <c r="G55" s="5">
        <f t="shared" si="0"/>
        <v>3.0488214357665706E-2</v>
      </c>
      <c r="H55" s="8">
        <v>2249</v>
      </c>
      <c r="I55" s="8">
        <v>59</v>
      </c>
      <c r="J55" s="8">
        <v>13791</v>
      </c>
      <c r="K55" s="5">
        <f t="shared" si="1"/>
        <v>3.0376651982378853</v>
      </c>
      <c r="L55" s="5">
        <v>2.2464290322580598</v>
      </c>
      <c r="M55" s="5">
        <v>51.63588</v>
      </c>
      <c r="N55" s="5">
        <v>15.645797999999999</v>
      </c>
      <c r="O55" s="5">
        <f t="shared" si="2"/>
        <v>0.69699755286440368</v>
      </c>
      <c r="P55" s="5">
        <v>0.504703161290323</v>
      </c>
      <c r="Q55" s="5">
        <v>0.58467054193548396</v>
      </c>
    </row>
    <row r="56" spans="1:17" ht="15.5" x14ac:dyDescent="0.35">
      <c r="A56" s="3" t="s">
        <v>75</v>
      </c>
      <c r="B56" s="3" t="s">
        <v>93</v>
      </c>
      <c r="C56" s="5">
        <v>7</v>
      </c>
      <c r="D56" s="5">
        <v>0</v>
      </c>
      <c r="E56" s="8">
        <v>818</v>
      </c>
      <c r="F56" s="8">
        <v>11428</v>
      </c>
      <c r="G56" s="5">
        <f t="shared" si="0"/>
        <v>7.1578578928946451E-2</v>
      </c>
      <c r="H56" s="8">
        <v>3252</v>
      </c>
      <c r="I56" s="8">
        <v>76</v>
      </c>
      <c r="J56" s="8">
        <v>22536</v>
      </c>
      <c r="K56" s="5">
        <f t="shared" si="1"/>
        <v>2.7550122249388753</v>
      </c>
      <c r="L56" s="5">
        <v>3.7783548387096801</v>
      </c>
      <c r="M56" s="5">
        <v>59.459637600000001</v>
      </c>
      <c r="N56" s="5">
        <v>26.9386236</v>
      </c>
      <c r="O56" s="5">
        <f t="shared" si="2"/>
        <v>0.54694268772334398</v>
      </c>
      <c r="P56" s="5">
        <v>0.86898785806451595</v>
      </c>
      <c r="Q56" s="5">
        <v>0.889537819354839</v>
      </c>
    </row>
    <row r="57" spans="1:17" ht="15.5" x14ac:dyDescent="0.35">
      <c r="A57" s="3" t="s">
        <v>75</v>
      </c>
      <c r="B57" s="3" t="s">
        <v>94</v>
      </c>
      <c r="C57" s="5">
        <v>4</v>
      </c>
      <c r="D57" s="5">
        <v>0</v>
      </c>
      <c r="E57" s="8">
        <v>301</v>
      </c>
      <c r="F57" s="8">
        <v>7956</v>
      </c>
      <c r="G57" s="5">
        <f t="shared" si="0"/>
        <v>3.7833081950729007E-2</v>
      </c>
      <c r="H57" s="8">
        <v>1292</v>
      </c>
      <c r="I57" s="8">
        <v>61</v>
      </c>
      <c r="J57" s="8">
        <v>12348</v>
      </c>
      <c r="K57" s="5">
        <f t="shared" si="1"/>
        <v>4.1023255813953492</v>
      </c>
      <c r="L57" s="5">
        <v>3.5411548387096801</v>
      </c>
      <c r="M57" s="5">
        <v>24.9875604</v>
      </c>
      <c r="N57" s="5">
        <v>9.4660811999999996</v>
      </c>
      <c r="O57" s="5">
        <f t="shared" si="2"/>
        <v>0.6211682513831962</v>
      </c>
      <c r="P57" s="5">
        <v>0.30535745806451597</v>
      </c>
      <c r="Q57" s="5">
        <v>0.32145503225806399</v>
      </c>
    </row>
    <row r="58" spans="1:17" ht="15.5" x14ac:dyDescent="0.35">
      <c r="A58" s="3" t="s">
        <v>75</v>
      </c>
      <c r="B58" s="3" t="s">
        <v>95</v>
      </c>
      <c r="C58" s="5">
        <v>8</v>
      </c>
      <c r="D58" s="5">
        <v>1</v>
      </c>
      <c r="E58" s="8">
        <v>337</v>
      </c>
      <c r="F58" s="8">
        <v>18413</v>
      </c>
      <c r="G58" s="5">
        <f t="shared" si="0"/>
        <v>1.8302286428067128E-2</v>
      </c>
      <c r="H58" s="8">
        <v>1318</v>
      </c>
      <c r="I58" s="8">
        <v>56</v>
      </c>
      <c r="J58" s="8">
        <v>14263</v>
      </c>
      <c r="K58" s="5">
        <f t="shared" si="1"/>
        <v>4.2323442136498519</v>
      </c>
      <c r="L58" s="5">
        <v>3.2693483870967701</v>
      </c>
      <c r="M58" s="5">
        <v>34.092478800000002</v>
      </c>
      <c r="N58" s="5">
        <v>14.778223199999999</v>
      </c>
      <c r="O58" s="5">
        <f t="shared" si="2"/>
        <v>0.56652541205070728</v>
      </c>
      <c r="P58" s="5">
        <v>0.47671687741935498</v>
      </c>
      <c r="Q58" s="5">
        <v>0.485035316129032</v>
      </c>
    </row>
    <row r="59" spans="1:17" ht="15.5" x14ac:dyDescent="0.35">
      <c r="A59" s="3" t="s">
        <v>358</v>
      </c>
      <c r="B59" s="3" t="s">
        <v>272</v>
      </c>
      <c r="C59" s="5">
        <v>2</v>
      </c>
      <c r="D59" s="5">
        <v>1</v>
      </c>
      <c r="E59" s="8">
        <v>180</v>
      </c>
      <c r="F59" s="8">
        <v>3989</v>
      </c>
      <c r="G59" s="5">
        <f t="shared" si="0"/>
        <v>4.5124091250940086E-2</v>
      </c>
      <c r="H59" s="8">
        <v>1301</v>
      </c>
      <c r="I59" s="8">
        <v>28</v>
      </c>
      <c r="J59" s="8">
        <v>6420</v>
      </c>
      <c r="K59" s="5">
        <f t="shared" si="1"/>
        <v>3.5666666666666669</v>
      </c>
      <c r="L59" s="5">
        <v>2.6704064516128998</v>
      </c>
      <c r="M59" s="5">
        <v>26.5437324</v>
      </c>
      <c r="N59" s="5">
        <v>9.4029336000000008</v>
      </c>
      <c r="O59" s="5">
        <f t="shared" si="2"/>
        <v>0.64575691698881044</v>
      </c>
      <c r="P59" s="5">
        <v>0.30332043870967701</v>
      </c>
      <c r="Q59" s="5">
        <v>0.24724544516128999</v>
      </c>
    </row>
    <row r="60" spans="1:17" ht="15.5" x14ac:dyDescent="0.35">
      <c r="A60" s="3" t="s">
        <v>358</v>
      </c>
      <c r="B60" s="3" t="s">
        <v>273</v>
      </c>
      <c r="C60" s="5">
        <v>11</v>
      </c>
      <c r="D60" s="5">
        <v>1</v>
      </c>
      <c r="E60" s="8">
        <v>782</v>
      </c>
      <c r="F60" s="8">
        <v>22245</v>
      </c>
      <c r="G60" s="5">
        <f t="shared" si="0"/>
        <v>3.5153967183636774E-2</v>
      </c>
      <c r="H60" s="8">
        <v>4507</v>
      </c>
      <c r="I60" s="8">
        <v>137</v>
      </c>
      <c r="J60" s="8">
        <v>41058</v>
      </c>
      <c r="K60" s="5">
        <f t="shared" si="1"/>
        <v>5.2503836317135546</v>
      </c>
      <c r="L60" s="5">
        <v>2.32868387096774</v>
      </c>
      <c r="M60" s="5">
        <v>106.8911964</v>
      </c>
      <c r="N60" s="5">
        <v>44.081463599999999</v>
      </c>
      <c r="O60" s="5">
        <f t="shared" si="2"/>
        <v>0.58760435765877528</v>
      </c>
      <c r="P60" s="5">
        <v>1.42198269677419</v>
      </c>
      <c r="Q60" s="5">
        <v>1.3526017548387099</v>
      </c>
    </row>
    <row r="61" spans="1:17" ht="15.5" x14ac:dyDescent="0.35">
      <c r="A61" s="3" t="s">
        <v>358</v>
      </c>
      <c r="B61" s="3" t="s">
        <v>274</v>
      </c>
      <c r="C61" s="5">
        <v>2</v>
      </c>
      <c r="D61" s="5">
        <v>0</v>
      </c>
      <c r="E61" s="8">
        <v>270</v>
      </c>
      <c r="F61" s="8">
        <v>13382</v>
      </c>
      <c r="G61" s="5">
        <f t="shared" si="0"/>
        <v>2.0176356299506801E-2</v>
      </c>
      <c r="H61" s="8">
        <v>654</v>
      </c>
      <c r="I61" s="8">
        <v>21</v>
      </c>
      <c r="J61" s="8">
        <v>6404</v>
      </c>
      <c r="K61" s="5">
        <f t="shared" si="1"/>
        <v>2.3718518518518521</v>
      </c>
      <c r="L61" s="5">
        <v>3.86875483870968</v>
      </c>
      <c r="M61" s="5">
        <v>31.073673599999999</v>
      </c>
      <c r="N61" s="5">
        <v>12.051050399999999</v>
      </c>
      <c r="O61" s="5">
        <f t="shared" si="2"/>
        <v>0.61217812367057878</v>
      </c>
      <c r="P61" s="5">
        <v>0.388743561290323</v>
      </c>
      <c r="Q61" s="5">
        <v>0.40503030967741899</v>
      </c>
    </row>
    <row r="62" spans="1:17" ht="15.5" x14ac:dyDescent="0.35">
      <c r="A62" s="3" t="s">
        <v>358</v>
      </c>
      <c r="B62" s="3" t="s">
        <v>275</v>
      </c>
      <c r="C62" s="5">
        <v>5</v>
      </c>
      <c r="D62" s="5">
        <v>1</v>
      </c>
      <c r="E62" s="8">
        <v>394</v>
      </c>
      <c r="F62" s="8">
        <v>18597</v>
      </c>
      <c r="G62" s="5">
        <f t="shared" si="0"/>
        <v>2.1186212830026349E-2</v>
      </c>
      <c r="H62" s="8">
        <v>3128</v>
      </c>
      <c r="I62" s="8">
        <v>67</v>
      </c>
      <c r="J62" s="8">
        <v>19864</v>
      </c>
      <c r="K62" s="5">
        <f t="shared" si="1"/>
        <v>5.0416243654822335</v>
      </c>
      <c r="L62" s="5">
        <v>2.8691677419354802</v>
      </c>
      <c r="M62" s="5">
        <v>43.993238400000003</v>
      </c>
      <c r="N62" s="5">
        <v>18.406278</v>
      </c>
      <c r="O62" s="5">
        <f t="shared" si="2"/>
        <v>0.58161120505282016</v>
      </c>
      <c r="P62" s="5">
        <v>0.59375090322580604</v>
      </c>
      <c r="Q62" s="5">
        <v>0.56335552258064503</v>
      </c>
    </row>
    <row r="63" spans="1:17" ht="15.5" x14ac:dyDescent="0.35">
      <c r="A63" s="3" t="s">
        <v>358</v>
      </c>
      <c r="B63" s="3" t="s">
        <v>276</v>
      </c>
      <c r="C63" s="5">
        <v>9</v>
      </c>
      <c r="D63" s="5">
        <v>1</v>
      </c>
      <c r="E63" s="8">
        <v>541</v>
      </c>
      <c r="F63" s="8">
        <v>27667</v>
      </c>
      <c r="G63" s="5">
        <f t="shared" si="0"/>
        <v>1.9553981277334008E-2</v>
      </c>
      <c r="H63" s="8">
        <v>2106</v>
      </c>
      <c r="I63" s="8">
        <v>73</v>
      </c>
      <c r="J63" s="8">
        <v>17919</v>
      </c>
      <c r="K63" s="5">
        <f t="shared" si="1"/>
        <v>3.3121996303142329</v>
      </c>
      <c r="L63" s="5">
        <v>2.9976741935483902</v>
      </c>
      <c r="M63" s="5">
        <v>47.521501200000003</v>
      </c>
      <c r="N63" s="5">
        <v>16.9623396</v>
      </c>
      <c r="O63" s="5">
        <f t="shared" si="2"/>
        <v>0.64305968515994616</v>
      </c>
      <c r="P63" s="5">
        <v>0.54717224516129004</v>
      </c>
      <c r="Q63" s="5">
        <v>0.57635001290322596</v>
      </c>
    </row>
    <row r="64" spans="1:17" ht="15.5" x14ac:dyDescent="0.35">
      <c r="A64" s="3" t="s">
        <v>358</v>
      </c>
      <c r="B64" s="3" t="s">
        <v>277</v>
      </c>
      <c r="C64" s="5">
        <v>4</v>
      </c>
      <c r="D64" s="5">
        <v>1</v>
      </c>
      <c r="E64" s="8">
        <v>353</v>
      </c>
      <c r="F64" s="8">
        <v>12572</v>
      </c>
      <c r="G64" s="5">
        <f t="shared" si="0"/>
        <v>2.8078269169583201E-2</v>
      </c>
      <c r="H64" s="8">
        <v>991</v>
      </c>
      <c r="I64" s="8">
        <v>45</v>
      </c>
      <c r="J64" s="8">
        <v>11650</v>
      </c>
      <c r="K64" s="5">
        <f t="shared" si="1"/>
        <v>3.3002832861189804</v>
      </c>
      <c r="L64" s="5">
        <v>3.8409032258064499</v>
      </c>
      <c r="M64" s="5">
        <v>30.534019199999999</v>
      </c>
      <c r="N64" s="5">
        <v>10.7160408</v>
      </c>
      <c r="O64" s="5">
        <f t="shared" si="2"/>
        <v>0.64904584850722835</v>
      </c>
      <c r="P64" s="5">
        <v>0.34567873548387101</v>
      </c>
      <c r="Q64" s="5">
        <v>0.37756869677419402</v>
      </c>
    </row>
    <row r="65" spans="1:17" ht="15.5" x14ac:dyDescent="0.35">
      <c r="A65" s="3" t="s">
        <v>358</v>
      </c>
      <c r="B65" s="3" t="s">
        <v>278</v>
      </c>
      <c r="C65" s="5">
        <v>7</v>
      </c>
      <c r="D65" s="5">
        <v>1</v>
      </c>
      <c r="E65" s="8">
        <v>434</v>
      </c>
      <c r="F65" s="8">
        <v>33476</v>
      </c>
      <c r="G65" s="5">
        <f t="shared" si="0"/>
        <v>1.2964511889114589E-2</v>
      </c>
      <c r="H65" s="8">
        <v>878</v>
      </c>
      <c r="I65" s="8">
        <v>40</v>
      </c>
      <c r="J65" s="8">
        <v>19262</v>
      </c>
      <c r="K65" s="5">
        <f t="shared" si="1"/>
        <v>4.4382488479262667</v>
      </c>
      <c r="L65" s="5">
        <v>3.9981870967741902</v>
      </c>
      <c r="M65" s="5">
        <v>34.461449999999999</v>
      </c>
      <c r="N65" s="5">
        <v>12.531704400000001</v>
      </c>
      <c r="O65" s="5">
        <f t="shared" si="2"/>
        <v>0.63635585850276177</v>
      </c>
      <c r="P65" s="5">
        <v>0.404248529032258</v>
      </c>
      <c r="Q65" s="5">
        <v>0.41658038709677397</v>
      </c>
    </row>
    <row r="66" spans="1:17" ht="15.5" x14ac:dyDescent="0.35">
      <c r="A66" s="3" t="s">
        <v>358</v>
      </c>
      <c r="B66" s="3" t="s">
        <v>279</v>
      </c>
      <c r="C66" s="5">
        <v>3</v>
      </c>
      <c r="D66" s="5">
        <v>1</v>
      </c>
      <c r="E66" s="8">
        <v>737</v>
      </c>
      <c r="F66" s="8">
        <v>12824</v>
      </c>
      <c r="G66" s="5">
        <f t="shared" ref="G66:G129" si="3">E66/F66</f>
        <v>5.7470368059887714E-2</v>
      </c>
      <c r="H66" s="8">
        <v>1680</v>
      </c>
      <c r="I66" s="8">
        <v>53</v>
      </c>
      <c r="J66" s="8">
        <v>18461</v>
      </c>
      <c r="K66" s="5">
        <f t="shared" ref="K66:K129" si="4">(J66/(E66*10000))*1000</f>
        <v>2.5048846675712344</v>
      </c>
      <c r="L66" s="5">
        <v>3.2582774193548398</v>
      </c>
      <c r="M66" s="5">
        <v>57.941470799999998</v>
      </c>
      <c r="N66" s="5">
        <v>20.68092</v>
      </c>
      <c r="O66" s="5">
        <f t="shared" ref="O66:O129" si="5">1-N66/M66</f>
        <v>0.64307222936425701</v>
      </c>
      <c r="P66" s="5">
        <v>0.66712645161290296</v>
      </c>
      <c r="Q66" s="5">
        <v>0.71277596129032295</v>
      </c>
    </row>
    <row r="67" spans="1:17" ht="15.5" x14ac:dyDescent="0.35">
      <c r="A67" s="3" t="s">
        <v>358</v>
      </c>
      <c r="B67" s="3" t="s">
        <v>280</v>
      </c>
      <c r="C67" s="5">
        <v>8</v>
      </c>
      <c r="D67" s="5">
        <v>1</v>
      </c>
      <c r="E67" s="8">
        <v>423</v>
      </c>
      <c r="F67" s="8">
        <v>36202</v>
      </c>
      <c r="G67" s="5">
        <f t="shared" si="3"/>
        <v>1.1684437323904756E-2</v>
      </c>
      <c r="H67" s="8">
        <v>1258</v>
      </c>
      <c r="I67" s="8">
        <v>38</v>
      </c>
      <c r="J67" s="8">
        <v>13067</v>
      </c>
      <c r="K67" s="5">
        <f t="shared" si="4"/>
        <v>3.0891252955082744</v>
      </c>
      <c r="L67" s="5">
        <v>4.2107483870967704</v>
      </c>
      <c r="M67" s="5">
        <v>31.795999200000001</v>
      </c>
      <c r="N67" s="5">
        <v>11.8239264</v>
      </c>
      <c r="O67" s="5">
        <f t="shared" si="5"/>
        <v>0.62813162984354332</v>
      </c>
      <c r="P67" s="5">
        <v>0.381416980645161</v>
      </c>
      <c r="Q67" s="5">
        <v>0.39919308387096802</v>
      </c>
    </row>
    <row r="68" spans="1:17" ht="15.5" x14ac:dyDescent="0.35">
      <c r="A68" s="3" t="s">
        <v>358</v>
      </c>
      <c r="B68" s="3" t="s">
        <v>281</v>
      </c>
      <c r="C68" s="5">
        <v>3</v>
      </c>
      <c r="D68" s="5">
        <v>0</v>
      </c>
      <c r="E68" s="8">
        <v>565</v>
      </c>
      <c r="F68" s="8">
        <v>10602</v>
      </c>
      <c r="G68" s="5">
        <f t="shared" si="3"/>
        <v>5.3291831729862293E-2</v>
      </c>
      <c r="H68" s="8">
        <v>1258</v>
      </c>
      <c r="I68" s="8">
        <v>64</v>
      </c>
      <c r="J68" s="8">
        <v>13609</v>
      </c>
      <c r="K68" s="5">
        <f t="shared" si="4"/>
        <v>2.4086725663716817</v>
      </c>
      <c r="L68" s="5">
        <v>3.5874000000000001</v>
      </c>
      <c r="M68" s="5">
        <v>46.958713199999998</v>
      </c>
      <c r="N68" s="5">
        <v>16.521732</v>
      </c>
      <c r="O68" s="5">
        <f t="shared" si="5"/>
        <v>0.64816472015251048</v>
      </c>
      <c r="P68" s="5">
        <v>0.53295909677419395</v>
      </c>
      <c r="Q68" s="5">
        <v>0.56056076129032295</v>
      </c>
    </row>
    <row r="69" spans="1:17" ht="15.5" x14ac:dyDescent="0.35">
      <c r="A69" s="3" t="s">
        <v>358</v>
      </c>
      <c r="B69" s="3" t="s">
        <v>282</v>
      </c>
      <c r="C69" s="5">
        <v>3</v>
      </c>
      <c r="D69" s="5">
        <v>0</v>
      </c>
      <c r="E69" s="8">
        <v>248</v>
      </c>
      <c r="F69" s="8">
        <v>11753</v>
      </c>
      <c r="G69" s="5">
        <f t="shared" si="3"/>
        <v>2.1100995490513062E-2</v>
      </c>
      <c r="H69" s="8">
        <v>701</v>
      </c>
      <c r="I69" s="8">
        <v>34</v>
      </c>
      <c r="J69" s="8">
        <v>6176</v>
      </c>
      <c r="K69" s="5">
        <f t="shared" si="4"/>
        <v>2.4903225806451612</v>
      </c>
      <c r="L69" s="5">
        <v>3.30408709677419</v>
      </c>
      <c r="M69" s="5">
        <v>19.985583599999998</v>
      </c>
      <c r="N69" s="5">
        <v>6.4402451999999997</v>
      </c>
      <c r="O69" s="5">
        <f t="shared" si="5"/>
        <v>0.67775545969045403</v>
      </c>
      <c r="P69" s="5">
        <v>0.20774984516129</v>
      </c>
      <c r="Q69" s="5">
        <v>0.24426464516129001</v>
      </c>
    </row>
    <row r="70" spans="1:17" ht="15.5" x14ac:dyDescent="0.35">
      <c r="A70" s="3" t="s">
        <v>358</v>
      </c>
      <c r="B70" s="3" t="s">
        <v>283</v>
      </c>
      <c r="C70" s="5">
        <v>1</v>
      </c>
      <c r="D70" s="5">
        <v>0</v>
      </c>
      <c r="E70" s="8">
        <v>418</v>
      </c>
      <c r="F70" s="8">
        <v>12187</v>
      </c>
      <c r="G70" s="5">
        <f t="shared" si="3"/>
        <v>3.4298843029457619E-2</v>
      </c>
      <c r="H70" s="8">
        <v>1356</v>
      </c>
      <c r="I70" s="8">
        <v>30</v>
      </c>
      <c r="J70" s="8">
        <v>11008</v>
      </c>
      <c r="K70" s="5">
        <f t="shared" si="4"/>
        <v>2.6334928229665073</v>
      </c>
      <c r="L70" s="5">
        <v>3.4835258064516101</v>
      </c>
      <c r="M70" s="5">
        <v>34.298218800000001</v>
      </c>
      <c r="N70" s="5">
        <v>10.826719199999999</v>
      </c>
      <c r="O70" s="5">
        <f t="shared" si="5"/>
        <v>0.68433581746233418</v>
      </c>
      <c r="P70" s="5">
        <v>0.349249006451613</v>
      </c>
      <c r="Q70" s="5">
        <v>0.40420149677419398</v>
      </c>
    </row>
    <row r="71" spans="1:17" ht="15.5" x14ac:dyDescent="0.35">
      <c r="A71" s="3" t="s">
        <v>358</v>
      </c>
      <c r="B71" s="3" t="s">
        <v>284</v>
      </c>
      <c r="C71" s="5">
        <v>2</v>
      </c>
      <c r="D71" s="5">
        <v>0</v>
      </c>
      <c r="E71" s="8">
        <v>100</v>
      </c>
      <c r="F71" s="8">
        <v>6238</v>
      </c>
      <c r="G71" s="5">
        <f t="shared" si="3"/>
        <v>1.6030779095864058E-2</v>
      </c>
      <c r="H71" s="8">
        <v>701</v>
      </c>
      <c r="I71" s="8">
        <v>16</v>
      </c>
      <c r="J71" s="8">
        <v>2805</v>
      </c>
      <c r="K71" s="5">
        <f t="shared" si="4"/>
        <v>2.8050000000000002</v>
      </c>
      <c r="L71" s="5">
        <v>2.6103096774193499</v>
      </c>
      <c r="M71" s="5">
        <v>15.251328000000001</v>
      </c>
      <c r="N71" s="5">
        <v>5.1757379999999999</v>
      </c>
      <c r="O71" s="5">
        <f t="shared" si="5"/>
        <v>0.66063689666893266</v>
      </c>
      <c r="P71" s="5">
        <v>0.166959290322581</v>
      </c>
      <c r="Q71" s="5">
        <v>0.150564890322581</v>
      </c>
    </row>
    <row r="72" spans="1:17" ht="15.5" x14ac:dyDescent="0.35">
      <c r="A72" s="3" t="s">
        <v>341</v>
      </c>
      <c r="B72" s="3" t="s">
        <v>324</v>
      </c>
      <c r="C72" s="5">
        <v>31</v>
      </c>
      <c r="D72" s="5">
        <v>1</v>
      </c>
      <c r="E72" s="8">
        <v>353</v>
      </c>
      <c r="F72" s="8">
        <v>9914</v>
      </c>
      <c r="G72" s="5">
        <f t="shared" si="3"/>
        <v>3.5606213435545694E-2</v>
      </c>
      <c r="H72" s="8">
        <v>1266</v>
      </c>
      <c r="I72" s="8">
        <v>116</v>
      </c>
      <c r="J72" s="8">
        <v>14484</v>
      </c>
      <c r="K72" s="5">
        <f t="shared" si="4"/>
        <v>4.103116147308782</v>
      </c>
      <c r="L72" s="5">
        <v>3.6981000000000002</v>
      </c>
      <c r="M72" s="5">
        <v>35.060234399999999</v>
      </c>
      <c r="N72" s="5">
        <v>14.6242584</v>
      </c>
      <c r="O72" s="5">
        <f t="shared" si="5"/>
        <v>0.58288189881582764</v>
      </c>
      <c r="P72" s="5">
        <v>0.47175027096774202</v>
      </c>
      <c r="Q72" s="5">
        <v>0.476910232258065</v>
      </c>
    </row>
    <row r="73" spans="1:17" ht="15.5" x14ac:dyDescent="0.35">
      <c r="A73" s="3" t="s">
        <v>341</v>
      </c>
      <c r="B73" s="3" t="s">
        <v>325</v>
      </c>
      <c r="C73" s="5">
        <v>6</v>
      </c>
      <c r="D73" s="5">
        <v>1</v>
      </c>
      <c r="E73" s="8">
        <v>307</v>
      </c>
      <c r="F73" s="8">
        <v>9267</v>
      </c>
      <c r="G73" s="5">
        <f t="shared" si="3"/>
        <v>3.3128304737239669E-2</v>
      </c>
      <c r="H73" s="8">
        <v>924</v>
      </c>
      <c r="I73" s="8">
        <v>78</v>
      </c>
      <c r="J73" s="8">
        <v>11097</v>
      </c>
      <c r="K73" s="5">
        <f t="shared" si="4"/>
        <v>3.6146579804560259</v>
      </c>
      <c r="L73" s="5">
        <v>3.64954838709677</v>
      </c>
      <c r="M73" s="5">
        <v>33.091707599999999</v>
      </c>
      <c r="N73" s="5">
        <v>12.652491599999999</v>
      </c>
      <c r="O73" s="5">
        <f t="shared" si="5"/>
        <v>0.61765371092545251</v>
      </c>
      <c r="P73" s="5">
        <v>0.408144890322581</v>
      </c>
      <c r="Q73" s="5">
        <v>0.42265799999999998</v>
      </c>
    </row>
    <row r="74" spans="1:17" s="16" customFormat="1" ht="15.5" x14ac:dyDescent="0.35">
      <c r="A74" s="13" t="s">
        <v>341</v>
      </c>
      <c r="B74" s="13" t="s">
        <v>326</v>
      </c>
      <c r="C74" s="14">
        <v>7</v>
      </c>
      <c r="D74" s="14">
        <v>1</v>
      </c>
      <c r="E74" s="15">
        <v>938</v>
      </c>
      <c r="F74" s="15">
        <v>26849</v>
      </c>
      <c r="G74" s="14">
        <f t="shared" si="3"/>
        <v>3.4936124250437635E-2</v>
      </c>
      <c r="H74" s="15">
        <v>1901</v>
      </c>
      <c r="I74" s="15">
        <v>284</v>
      </c>
      <c r="J74" s="15">
        <v>32155</v>
      </c>
      <c r="K74" s="14">
        <f t="shared" si="4"/>
        <v>3.4280383795309168</v>
      </c>
      <c r="L74" s="14">
        <v>4.5867096774193596</v>
      </c>
      <c r="M74" s="14">
        <v>70.781655599999993</v>
      </c>
      <c r="N74" s="14">
        <v>29.502791999999999</v>
      </c>
      <c r="O74" s="14">
        <f t="shared" si="5"/>
        <v>0.58318590106558621</v>
      </c>
      <c r="P74" s="14">
        <v>0.95170296774193597</v>
      </c>
      <c r="Q74" s="14">
        <v>1.0179881419354799</v>
      </c>
    </row>
    <row r="75" spans="1:17" ht="15.5" x14ac:dyDescent="0.35">
      <c r="A75" s="3" t="s">
        <v>341</v>
      </c>
      <c r="B75" s="3" t="s">
        <v>327</v>
      </c>
      <c r="C75" s="5">
        <v>26</v>
      </c>
      <c r="D75" s="5">
        <v>1</v>
      </c>
      <c r="E75" s="8">
        <v>428</v>
      </c>
      <c r="F75" s="8">
        <v>8043</v>
      </c>
      <c r="G75" s="5">
        <f t="shared" si="3"/>
        <v>5.3213974884993159E-2</v>
      </c>
      <c r="H75" s="8">
        <v>4040</v>
      </c>
      <c r="I75" s="8">
        <v>189</v>
      </c>
      <c r="J75" s="8">
        <v>34624</v>
      </c>
      <c r="K75" s="5">
        <f t="shared" si="4"/>
        <v>8.0897196261682236</v>
      </c>
      <c r="L75" s="5">
        <v>2.0069967741935502</v>
      </c>
      <c r="M75" s="5">
        <v>95.982731999999999</v>
      </c>
      <c r="N75" s="5">
        <v>41.282848799999996</v>
      </c>
      <c r="O75" s="5">
        <f t="shared" si="5"/>
        <v>0.56989295949608931</v>
      </c>
      <c r="P75" s="5">
        <v>1.3317048</v>
      </c>
      <c r="Q75" s="5">
        <v>1.3090488387096799</v>
      </c>
    </row>
    <row r="76" spans="1:17" ht="15.5" x14ac:dyDescent="0.35">
      <c r="A76" s="3" t="s">
        <v>341</v>
      </c>
      <c r="B76" s="3" t="s">
        <v>328</v>
      </c>
      <c r="C76" s="5">
        <v>19</v>
      </c>
      <c r="D76" s="5">
        <v>2</v>
      </c>
      <c r="E76" s="8">
        <v>819</v>
      </c>
      <c r="F76" s="8">
        <v>30762</v>
      </c>
      <c r="G76" s="5">
        <f t="shared" si="3"/>
        <v>2.6623756582796958E-2</v>
      </c>
      <c r="H76" s="8">
        <v>3483</v>
      </c>
      <c r="I76" s="8">
        <v>207</v>
      </c>
      <c r="J76" s="8">
        <v>40077</v>
      </c>
      <c r="K76" s="5">
        <f t="shared" si="4"/>
        <v>4.8934065934065929</v>
      </c>
      <c r="L76" s="5">
        <v>3.5323516129032302</v>
      </c>
      <c r="M76" s="5">
        <v>67.662831600000004</v>
      </c>
      <c r="N76" s="5">
        <v>25.892427600000001</v>
      </c>
      <c r="O76" s="5">
        <f t="shared" si="5"/>
        <v>0.61733159863797371</v>
      </c>
      <c r="P76" s="5">
        <v>0.83523959999999997</v>
      </c>
      <c r="Q76" s="5">
        <v>0.87219754838709695</v>
      </c>
    </row>
    <row r="77" spans="1:17" ht="15.5" x14ac:dyDescent="0.35">
      <c r="A77" s="3" t="s">
        <v>341</v>
      </c>
      <c r="B77" s="3" t="s">
        <v>329</v>
      </c>
      <c r="C77" s="5">
        <v>7</v>
      </c>
      <c r="D77" s="5">
        <v>1</v>
      </c>
      <c r="E77" s="8">
        <v>446</v>
      </c>
      <c r="F77" s="8">
        <v>18014</v>
      </c>
      <c r="G77" s="5">
        <f t="shared" si="3"/>
        <v>2.4758521150216498E-2</v>
      </c>
      <c r="H77" s="8">
        <v>1249</v>
      </c>
      <c r="I77" s="8">
        <v>115</v>
      </c>
      <c r="J77" s="8">
        <v>19703</v>
      </c>
      <c r="K77" s="5">
        <f t="shared" si="4"/>
        <v>4.4177130044843045</v>
      </c>
      <c r="L77" s="5">
        <v>4.4349322580645198</v>
      </c>
      <c r="M77" s="5">
        <v>33.448788</v>
      </c>
      <c r="N77" s="5">
        <v>12.7765512</v>
      </c>
      <c r="O77" s="5">
        <f t="shared" si="5"/>
        <v>0.61802648275327643</v>
      </c>
      <c r="P77" s="5">
        <v>0.41214681290322602</v>
      </c>
      <c r="Q77" s="5">
        <v>0.409164967741936</v>
      </c>
    </row>
    <row r="78" spans="1:17" s="12" customFormat="1" ht="15.5" x14ac:dyDescent="0.35">
      <c r="A78" s="13" t="s">
        <v>341</v>
      </c>
      <c r="B78" s="13" t="s">
        <v>18</v>
      </c>
      <c r="C78" s="14">
        <v>8</v>
      </c>
      <c r="D78" s="14">
        <v>2</v>
      </c>
      <c r="E78" s="15">
        <v>485</v>
      </c>
      <c r="F78" s="15">
        <v>30282</v>
      </c>
      <c r="G78" s="14">
        <f t="shared" si="3"/>
        <v>1.6016115183937654E-2</v>
      </c>
      <c r="H78" s="15">
        <v>1123</v>
      </c>
      <c r="I78" s="15">
        <v>115</v>
      </c>
      <c r="J78" s="15">
        <v>20197</v>
      </c>
      <c r="K78" s="14">
        <f t="shared" si="4"/>
        <v>4.1643298969072164</v>
      </c>
      <c r="L78" s="14">
        <v>3.6470387096774202</v>
      </c>
      <c r="M78" s="14">
        <v>33.244246799999999</v>
      </c>
      <c r="N78" s="14">
        <v>11.197342799999999</v>
      </c>
      <c r="O78" s="14">
        <f t="shared" si="5"/>
        <v>0.66317953096173021</v>
      </c>
      <c r="P78" s="14">
        <v>0.36120460645161301</v>
      </c>
      <c r="Q78" s="14">
        <v>0.39332972903225799</v>
      </c>
    </row>
    <row r="79" spans="1:17" ht="15.5" x14ac:dyDescent="0.35">
      <c r="A79" s="13" t="s">
        <v>341</v>
      </c>
      <c r="B79" s="13" t="s">
        <v>19</v>
      </c>
      <c r="C79" s="14">
        <v>18</v>
      </c>
      <c r="D79" s="14">
        <v>1</v>
      </c>
      <c r="E79" s="15">
        <v>330</v>
      </c>
      <c r="F79" s="15">
        <f>330.12*10000/126</f>
        <v>26200</v>
      </c>
      <c r="G79" s="14">
        <f t="shared" si="3"/>
        <v>1.2595419847328244E-2</v>
      </c>
      <c r="H79" s="15">
        <v>1518</v>
      </c>
      <c r="I79" s="15">
        <v>103</v>
      </c>
      <c r="J79" s="15">
        <v>17833</v>
      </c>
      <c r="K79" s="14">
        <f t="shared" si="4"/>
        <v>5.4039393939393943</v>
      </c>
      <c r="L79" s="14">
        <v>3.6294032258064499</v>
      </c>
      <c r="M79" s="14">
        <v>43.6302612</v>
      </c>
      <c r="N79" s="14">
        <v>15.306602399999999</v>
      </c>
      <c r="O79" s="14">
        <f t="shared" si="5"/>
        <v>0.64917463294948141</v>
      </c>
      <c r="P79" s="14">
        <v>0.49376136774193502</v>
      </c>
      <c r="Q79" s="14">
        <v>0.51590833548387105</v>
      </c>
    </row>
    <row r="80" spans="1:17" s="16" customFormat="1" ht="15.5" x14ac:dyDescent="0.35">
      <c r="A80" s="13" t="s">
        <v>341</v>
      </c>
      <c r="B80" s="13" t="s">
        <v>16</v>
      </c>
      <c r="C80" s="14">
        <v>6</v>
      </c>
      <c r="D80" s="14">
        <v>1</v>
      </c>
      <c r="E80" s="15">
        <v>371</v>
      </c>
      <c r="F80" s="15">
        <v>16806</v>
      </c>
      <c r="G80" s="14">
        <f t="shared" si="3"/>
        <v>2.2075449244317504E-2</v>
      </c>
      <c r="H80" s="15">
        <v>1353</v>
      </c>
      <c r="I80" s="15">
        <v>131</v>
      </c>
      <c r="J80" s="15">
        <v>18540</v>
      </c>
      <c r="K80" s="14">
        <f t="shared" si="4"/>
        <v>4.9973045822102424</v>
      </c>
      <c r="L80" s="14">
        <v>4.5936935483871002</v>
      </c>
      <c r="M80" s="14">
        <v>25.837412400000002</v>
      </c>
      <c r="N80" s="14">
        <v>10.2004272</v>
      </c>
      <c r="O80" s="14">
        <f t="shared" si="5"/>
        <v>0.60520709109399828</v>
      </c>
      <c r="P80" s="14">
        <v>0.32904603870967702</v>
      </c>
      <c r="Q80" s="14">
        <v>0.32250437419354799</v>
      </c>
    </row>
    <row r="81" spans="1:17" s="16" customFormat="1" ht="15.5" x14ac:dyDescent="0.35">
      <c r="A81" s="13" t="s">
        <v>345</v>
      </c>
      <c r="B81" s="13" t="s">
        <v>285</v>
      </c>
      <c r="C81" s="14">
        <v>3</v>
      </c>
      <c r="D81" s="14">
        <v>0</v>
      </c>
      <c r="E81" s="15">
        <v>30</v>
      </c>
      <c r="F81" s="15">
        <v>1901</v>
      </c>
      <c r="G81" s="14">
        <f t="shared" si="3"/>
        <v>1.5781167806417674E-2</v>
      </c>
      <c r="H81" s="15">
        <v>236</v>
      </c>
      <c r="I81" s="15">
        <v>16</v>
      </c>
      <c r="J81" s="15">
        <v>2282</v>
      </c>
      <c r="K81" s="14">
        <f t="shared" si="4"/>
        <v>7.6066666666666674</v>
      </c>
      <c r="L81" s="14">
        <v>3.86321290322581</v>
      </c>
      <c r="M81" s="14">
        <v>10.368745199999999</v>
      </c>
      <c r="N81" s="14">
        <v>4.0993127999999999</v>
      </c>
      <c r="O81" s="14">
        <f t="shared" si="5"/>
        <v>0.60464716598494483</v>
      </c>
      <c r="P81" s="14">
        <v>0.13223589677419401</v>
      </c>
      <c r="Q81" s="14">
        <v>0.1374408</v>
      </c>
    </row>
    <row r="82" spans="1:17" s="16" customFormat="1" ht="15.5" x14ac:dyDescent="0.35">
      <c r="A82" s="13" t="s">
        <v>345</v>
      </c>
      <c r="B82" s="13" t="s">
        <v>286</v>
      </c>
      <c r="C82" s="14">
        <v>7</v>
      </c>
      <c r="D82" s="14">
        <v>1</v>
      </c>
      <c r="E82" s="15">
        <v>63</v>
      </c>
      <c r="F82" s="15">
        <v>1922</v>
      </c>
      <c r="G82" s="14">
        <f t="shared" si="3"/>
        <v>3.2778355879292405E-2</v>
      </c>
      <c r="H82" s="15">
        <v>678</v>
      </c>
      <c r="I82" s="15">
        <v>31</v>
      </c>
      <c r="J82" s="15">
        <v>4764</v>
      </c>
      <c r="K82" s="14">
        <f t="shared" si="4"/>
        <v>7.5619047619047617</v>
      </c>
      <c r="L82" s="14">
        <v>2.7502870967741901</v>
      </c>
      <c r="M82" s="14">
        <v>41.644659599999997</v>
      </c>
      <c r="N82" s="14">
        <v>16.2180468</v>
      </c>
      <c r="O82" s="14">
        <f t="shared" si="5"/>
        <v>0.61056118705794393</v>
      </c>
      <c r="P82" s="14">
        <v>0.52316280000000004</v>
      </c>
      <c r="Q82" s="14">
        <v>0.33668616774193499</v>
      </c>
    </row>
    <row r="83" spans="1:17" s="16" customFormat="1" ht="15.5" x14ac:dyDescent="0.35">
      <c r="A83" s="13" t="s">
        <v>345</v>
      </c>
      <c r="B83" s="13" t="s">
        <v>287</v>
      </c>
      <c r="C83" s="14">
        <v>2</v>
      </c>
      <c r="D83" s="14">
        <v>0</v>
      </c>
      <c r="E83" s="15">
        <v>21</v>
      </c>
      <c r="F83" s="15">
        <v>2273</v>
      </c>
      <c r="G83" s="14">
        <f t="shared" si="3"/>
        <v>9.2388913330400356E-3</v>
      </c>
      <c r="H83" s="15">
        <v>193</v>
      </c>
      <c r="I83" s="15">
        <v>6</v>
      </c>
      <c r="J83" s="15">
        <v>750</v>
      </c>
      <c r="K83" s="14">
        <f t="shared" si="4"/>
        <v>3.5714285714285712</v>
      </c>
      <c r="L83" s="14">
        <v>3.7809258064516098</v>
      </c>
      <c r="M83" s="14">
        <v>6.7476564000000003</v>
      </c>
      <c r="N83" s="14">
        <v>2.8095012000000001</v>
      </c>
      <c r="O83" s="14">
        <f t="shared" si="5"/>
        <v>0.58363303739058203</v>
      </c>
      <c r="P83" s="14">
        <v>9.0629070967741907E-2</v>
      </c>
      <c r="Q83" s="14">
        <v>9.4325806451612898E-2</v>
      </c>
    </row>
    <row r="84" spans="1:17" s="16" customFormat="1" ht="15.5" x14ac:dyDescent="0.35">
      <c r="A84" s="13" t="s">
        <v>345</v>
      </c>
      <c r="B84" s="13" t="s">
        <v>288</v>
      </c>
      <c r="C84" s="14">
        <v>3</v>
      </c>
      <c r="D84" s="14">
        <v>0</v>
      </c>
      <c r="E84" s="15">
        <v>98</v>
      </c>
      <c r="F84" s="15">
        <v>3285</v>
      </c>
      <c r="G84" s="14">
        <f t="shared" si="3"/>
        <v>2.9832572298325723E-2</v>
      </c>
      <c r="H84" s="15">
        <v>358</v>
      </c>
      <c r="I84" s="15">
        <v>20</v>
      </c>
      <c r="J84" s="15">
        <v>3212</v>
      </c>
      <c r="K84" s="14">
        <f t="shared" si="4"/>
        <v>3.277551020408163</v>
      </c>
      <c r="L84" s="14">
        <v>3.1267903225806499</v>
      </c>
      <c r="M84" s="14">
        <v>11.6072028</v>
      </c>
      <c r="N84" s="14">
        <v>4.4084735999999998</v>
      </c>
      <c r="O84" s="14">
        <f t="shared" si="5"/>
        <v>0.6201950051221643</v>
      </c>
      <c r="P84" s="14">
        <v>0.142208825806452</v>
      </c>
      <c r="Q84" s="14">
        <v>0.14333864516129</v>
      </c>
    </row>
    <row r="85" spans="1:17" s="16" customFormat="1" ht="15.5" x14ac:dyDescent="0.35">
      <c r="A85" s="13" t="s">
        <v>345</v>
      </c>
      <c r="B85" s="13" t="s">
        <v>289</v>
      </c>
      <c r="C85" s="14">
        <v>1</v>
      </c>
      <c r="D85" s="14">
        <v>0</v>
      </c>
      <c r="E85" s="15">
        <v>31</v>
      </c>
      <c r="F85" s="15">
        <v>2459</v>
      </c>
      <c r="G85" s="14">
        <f t="shared" si="3"/>
        <v>1.2606750711671411E-2</v>
      </c>
      <c r="H85" s="15">
        <v>257</v>
      </c>
      <c r="I85" s="15">
        <v>13</v>
      </c>
      <c r="J85" s="15">
        <v>1245</v>
      </c>
      <c r="K85" s="14">
        <f t="shared" si="4"/>
        <v>4.0161290322580641</v>
      </c>
      <c r="L85" s="14">
        <v>3.8567451612903199</v>
      </c>
      <c r="M85" s="14">
        <v>12.3298524</v>
      </c>
      <c r="N85" s="14">
        <v>5.0935392000000004</v>
      </c>
      <c r="O85" s="14">
        <f t="shared" si="5"/>
        <v>0.58689374091777446</v>
      </c>
      <c r="P85" s="14">
        <v>0.164307716129032</v>
      </c>
      <c r="Q85" s="14">
        <v>0.17408206451612901</v>
      </c>
    </row>
    <row r="86" spans="1:17" s="16" customFormat="1" ht="15.5" x14ac:dyDescent="0.35">
      <c r="A86" s="13" t="s">
        <v>345</v>
      </c>
      <c r="B86" s="13" t="s">
        <v>290</v>
      </c>
      <c r="C86" s="14">
        <v>6</v>
      </c>
      <c r="D86" s="14">
        <v>1</v>
      </c>
      <c r="E86" s="15">
        <v>183</v>
      </c>
      <c r="F86" s="15">
        <v>2297</v>
      </c>
      <c r="G86" s="14">
        <f t="shared" si="3"/>
        <v>7.9669133652590332E-2</v>
      </c>
      <c r="H86" s="15">
        <v>1672</v>
      </c>
      <c r="I86" s="15">
        <v>64</v>
      </c>
      <c r="J86" s="15">
        <v>16388</v>
      </c>
      <c r="K86" s="14">
        <f t="shared" si="4"/>
        <v>8.9551912568306022</v>
      </c>
      <c r="L86" s="14">
        <v>1.9204161290322601</v>
      </c>
      <c r="M86" s="14">
        <v>60.624125999999997</v>
      </c>
      <c r="N86" s="14">
        <v>26.249540400000001</v>
      </c>
      <c r="O86" s="14">
        <f t="shared" si="5"/>
        <v>0.56701164813493554</v>
      </c>
      <c r="P86" s="14">
        <v>0.84675936774193505</v>
      </c>
      <c r="Q86" s="14">
        <v>0.70082454193548405</v>
      </c>
    </row>
    <row r="87" spans="1:17" s="16" customFormat="1" ht="15.5" x14ac:dyDescent="0.35">
      <c r="A87" s="13" t="s">
        <v>345</v>
      </c>
      <c r="B87" s="13" t="s">
        <v>291</v>
      </c>
      <c r="C87" s="14">
        <v>2</v>
      </c>
      <c r="D87" s="14">
        <v>1</v>
      </c>
      <c r="E87" s="15">
        <v>27</v>
      </c>
      <c r="F87" s="15">
        <v>1710</v>
      </c>
      <c r="G87" s="14">
        <f t="shared" si="3"/>
        <v>1.5789473684210527E-2</v>
      </c>
      <c r="H87" s="15">
        <v>283</v>
      </c>
      <c r="I87" s="15">
        <v>14</v>
      </c>
      <c r="J87" s="15">
        <v>2506</v>
      </c>
      <c r="K87" s="14">
        <f t="shared" si="4"/>
        <v>9.2814814814814817</v>
      </c>
      <c r="L87" s="14">
        <v>3.1138774193548402</v>
      </c>
      <c r="M87" s="14">
        <v>10.877392800000001</v>
      </c>
      <c r="N87" s="14">
        <v>4.0436820000000004</v>
      </c>
      <c r="O87" s="14">
        <f t="shared" si="5"/>
        <v>0.62824896789605678</v>
      </c>
      <c r="P87" s="14">
        <v>0.13044135483871</v>
      </c>
      <c r="Q87" s="14">
        <v>0.120536361290323</v>
      </c>
    </row>
    <row r="88" spans="1:17" s="16" customFormat="1" ht="15.5" x14ac:dyDescent="0.35">
      <c r="A88" s="3" t="s">
        <v>344</v>
      </c>
      <c r="B88" s="3" t="s">
        <v>292</v>
      </c>
      <c r="C88" s="5">
        <v>30</v>
      </c>
      <c r="D88" s="5">
        <v>0</v>
      </c>
      <c r="E88" s="8">
        <v>1215</v>
      </c>
      <c r="F88" s="8">
        <v>22185</v>
      </c>
      <c r="G88" s="5">
        <f t="shared" si="3"/>
        <v>5.4766734279918863E-2</v>
      </c>
      <c r="H88" s="8">
        <v>3772</v>
      </c>
      <c r="I88" s="8">
        <v>367</v>
      </c>
      <c r="J88" s="8">
        <v>47662</v>
      </c>
      <c r="K88" s="5">
        <f t="shared" si="4"/>
        <v>3.9227983539094651</v>
      </c>
      <c r="L88" s="5">
        <v>1.9851451612903199</v>
      </c>
      <c r="M88" s="5">
        <v>86.655776399999993</v>
      </c>
      <c r="N88" s="5">
        <v>26.068068</v>
      </c>
      <c r="O88" s="5">
        <f t="shared" si="5"/>
        <v>0.69917679948223277</v>
      </c>
      <c r="P88" s="5">
        <v>0.84090541935483898</v>
      </c>
      <c r="Q88" s="5">
        <v>0.89887215483870997</v>
      </c>
    </row>
    <row r="89" spans="1:17" ht="15.5" x14ac:dyDescent="0.35">
      <c r="A89" s="3" t="s">
        <v>344</v>
      </c>
      <c r="B89" s="3" t="s">
        <v>293</v>
      </c>
      <c r="C89" s="5">
        <v>12</v>
      </c>
      <c r="D89" s="5">
        <v>1</v>
      </c>
      <c r="E89" s="8">
        <v>756</v>
      </c>
      <c r="F89" s="8">
        <v>14198</v>
      </c>
      <c r="G89" s="5">
        <f t="shared" si="3"/>
        <v>5.3246936188195523E-2</v>
      </c>
      <c r="H89" s="8">
        <v>6890</v>
      </c>
      <c r="I89" s="8">
        <v>212</v>
      </c>
      <c r="J89" s="8">
        <v>37131</v>
      </c>
      <c r="K89" s="5">
        <f t="shared" si="4"/>
        <v>4.9115079365079364</v>
      </c>
      <c r="L89" s="5">
        <v>2.9452032258064502</v>
      </c>
      <c r="M89" s="5">
        <v>47.399256000000001</v>
      </c>
      <c r="N89" s="5">
        <v>17.403659999999999</v>
      </c>
      <c r="O89" s="5">
        <f t="shared" si="5"/>
        <v>0.63282841401561241</v>
      </c>
      <c r="P89" s="5">
        <v>0.56140838709677399</v>
      </c>
      <c r="Q89" s="5">
        <v>0.58367136774193595</v>
      </c>
    </row>
    <row r="90" spans="1:17" ht="15.5" x14ac:dyDescent="0.35">
      <c r="A90" s="3" t="s">
        <v>344</v>
      </c>
      <c r="B90" s="3" t="s">
        <v>294</v>
      </c>
      <c r="C90" s="5">
        <v>17</v>
      </c>
      <c r="D90" s="5">
        <v>0</v>
      </c>
      <c r="E90" s="8">
        <v>483</v>
      </c>
      <c r="F90" s="8">
        <v>6419</v>
      </c>
      <c r="G90" s="5">
        <f t="shared" si="3"/>
        <v>7.5245365321701202E-2</v>
      </c>
      <c r="H90" s="8">
        <v>3196</v>
      </c>
      <c r="I90" s="8">
        <v>190</v>
      </c>
      <c r="J90" s="8">
        <v>20252</v>
      </c>
      <c r="K90" s="5">
        <f t="shared" si="4"/>
        <v>4.1929606625258797</v>
      </c>
      <c r="L90" s="5">
        <v>1.76368387096774</v>
      </c>
      <c r="M90" s="5">
        <v>93.981027600000004</v>
      </c>
      <c r="N90" s="5">
        <v>30.2271912</v>
      </c>
      <c r="O90" s="5">
        <f t="shared" si="5"/>
        <v>0.67836922012970202</v>
      </c>
      <c r="P90" s="5">
        <v>0.97507068387096796</v>
      </c>
      <c r="Q90" s="5">
        <v>0.98733356129032301</v>
      </c>
    </row>
    <row r="91" spans="1:17" ht="15.5" x14ac:dyDescent="0.35">
      <c r="A91" s="3" t="s">
        <v>344</v>
      </c>
      <c r="B91" s="3" t="s">
        <v>295</v>
      </c>
      <c r="C91" s="5">
        <v>11</v>
      </c>
      <c r="D91" s="5">
        <v>1</v>
      </c>
      <c r="E91" s="8">
        <v>465</v>
      </c>
      <c r="F91" s="8">
        <v>36797</v>
      </c>
      <c r="G91" s="5">
        <f t="shared" si="3"/>
        <v>1.2636899747262006E-2</v>
      </c>
      <c r="H91" s="8">
        <v>1551</v>
      </c>
      <c r="I91" s="8">
        <v>119</v>
      </c>
      <c r="J91" s="8">
        <v>20921</v>
      </c>
      <c r="K91" s="5">
        <f t="shared" si="4"/>
        <v>4.4991397849462365</v>
      </c>
      <c r="L91" s="5">
        <v>3.0455000000000001</v>
      </c>
      <c r="M91" s="5">
        <v>32.341485599999999</v>
      </c>
      <c r="N91" s="5">
        <v>12.7057248</v>
      </c>
      <c r="O91" s="5">
        <f t="shared" si="5"/>
        <v>0.60713849211676285</v>
      </c>
      <c r="P91" s="5">
        <v>0.40986209032258097</v>
      </c>
      <c r="Q91" s="5">
        <v>0.42988006451612898</v>
      </c>
    </row>
    <row r="92" spans="1:17" ht="15.5" x14ac:dyDescent="0.35">
      <c r="A92" s="3" t="s">
        <v>344</v>
      </c>
      <c r="B92" s="3" t="s">
        <v>296</v>
      </c>
      <c r="C92" s="5">
        <v>46</v>
      </c>
      <c r="D92" s="5">
        <v>1</v>
      </c>
      <c r="E92" s="8">
        <v>383</v>
      </c>
      <c r="F92" s="8">
        <v>39490</v>
      </c>
      <c r="G92" s="5">
        <f t="shared" si="3"/>
        <v>9.6986578880729306E-3</v>
      </c>
      <c r="H92" s="8">
        <v>1471</v>
      </c>
      <c r="I92" s="8">
        <v>86</v>
      </c>
      <c r="J92" s="8">
        <v>17614</v>
      </c>
      <c r="K92" s="5">
        <f t="shared" si="4"/>
        <v>4.5989556135770231</v>
      </c>
      <c r="L92" s="5">
        <v>2.8699967741935501</v>
      </c>
      <c r="M92" s="5">
        <v>22.938163200000002</v>
      </c>
      <c r="N92" s="5">
        <v>8.5035419999999995</v>
      </c>
      <c r="O92" s="5">
        <f t="shared" si="5"/>
        <v>0.6292840919363587</v>
      </c>
      <c r="P92" s="5">
        <v>0.27430780645161301</v>
      </c>
      <c r="Q92" s="5">
        <v>0.31121454193548398</v>
      </c>
    </row>
    <row r="93" spans="1:17" ht="15.5" x14ac:dyDescent="0.35">
      <c r="A93" s="3" t="s">
        <v>344</v>
      </c>
      <c r="B93" s="3" t="s">
        <v>297</v>
      </c>
      <c r="C93" s="5">
        <v>12</v>
      </c>
      <c r="D93" s="5">
        <v>0</v>
      </c>
      <c r="E93" s="8">
        <v>787</v>
      </c>
      <c r="F93" s="8">
        <v>14304</v>
      </c>
      <c r="G93" s="5">
        <f t="shared" si="3"/>
        <v>5.5019574944071586E-2</v>
      </c>
      <c r="H93" s="8">
        <v>3588</v>
      </c>
      <c r="I93" s="8">
        <v>191</v>
      </c>
      <c r="J93" s="8">
        <v>34113</v>
      </c>
      <c r="K93" s="5">
        <f t="shared" si="4"/>
        <v>4.3345616264294788</v>
      </c>
      <c r="L93" s="5">
        <v>2.4411774193548399</v>
      </c>
      <c r="M93" s="5">
        <v>55.630346400000001</v>
      </c>
      <c r="N93" s="5">
        <v>18.845492400000001</v>
      </c>
      <c r="O93" s="5">
        <f t="shared" si="5"/>
        <v>0.66123719121763369</v>
      </c>
      <c r="P93" s="5">
        <v>0.60791910967741902</v>
      </c>
      <c r="Q93" s="5">
        <v>0.64777424516129001</v>
      </c>
    </row>
    <row r="94" spans="1:17" ht="15.5" x14ac:dyDescent="0.35">
      <c r="A94" s="3" t="s">
        <v>344</v>
      </c>
      <c r="B94" s="3" t="s">
        <v>298</v>
      </c>
      <c r="C94" s="5">
        <v>13</v>
      </c>
      <c r="D94" s="5">
        <v>1</v>
      </c>
      <c r="E94" s="8">
        <v>1052</v>
      </c>
      <c r="F94" s="8">
        <v>15848</v>
      </c>
      <c r="G94" s="5">
        <f t="shared" si="3"/>
        <v>6.6380615850580513E-2</v>
      </c>
      <c r="H94" s="8">
        <v>5810</v>
      </c>
      <c r="I94" s="8">
        <v>275</v>
      </c>
      <c r="J94" s="8">
        <v>51288</v>
      </c>
      <c r="K94" s="5">
        <f t="shared" si="4"/>
        <v>4.8752851711026617</v>
      </c>
      <c r="L94" s="5">
        <v>2.29438387096774</v>
      </c>
      <c r="M94" s="5">
        <v>82.945133999999996</v>
      </c>
      <c r="N94" s="5">
        <v>33.069383999999999</v>
      </c>
      <c r="O94" s="5">
        <f t="shared" si="5"/>
        <v>0.60131013833795244</v>
      </c>
      <c r="P94" s="5">
        <v>1.0667543225806499</v>
      </c>
      <c r="Q94" s="5">
        <v>0.97195819354838697</v>
      </c>
    </row>
    <row r="95" spans="1:17" ht="15.5" x14ac:dyDescent="0.35">
      <c r="A95" s="3" t="s">
        <v>344</v>
      </c>
      <c r="B95" s="3" t="s">
        <v>299</v>
      </c>
      <c r="C95" s="5">
        <v>6</v>
      </c>
      <c r="D95" s="5">
        <v>1</v>
      </c>
      <c r="E95" s="8">
        <v>301</v>
      </c>
      <c r="F95" s="8">
        <v>7802</v>
      </c>
      <c r="G95" s="5">
        <f t="shared" si="3"/>
        <v>3.8579851320174316E-2</v>
      </c>
      <c r="H95" s="8">
        <v>1612</v>
      </c>
      <c r="I95" s="8">
        <v>68</v>
      </c>
      <c r="J95" s="8">
        <v>14282</v>
      </c>
      <c r="K95" s="5">
        <f t="shared" si="4"/>
        <v>4.7448504983388702</v>
      </c>
      <c r="L95" s="5">
        <v>2.8093774193548402</v>
      </c>
      <c r="M95" s="5">
        <v>22.809794400000001</v>
      </c>
      <c r="N95" s="5">
        <v>9.0773136000000001</v>
      </c>
      <c r="O95" s="5">
        <f t="shared" si="5"/>
        <v>0.60204316440484884</v>
      </c>
      <c r="P95" s="5">
        <v>0.29281656774193499</v>
      </c>
      <c r="Q95" s="5">
        <v>0.31488619354838698</v>
      </c>
    </row>
    <row r="96" spans="1:17" s="16" customFormat="1" ht="15.5" x14ac:dyDescent="0.35">
      <c r="A96" s="3" t="s">
        <v>344</v>
      </c>
      <c r="B96" s="3" t="s">
        <v>300</v>
      </c>
      <c r="C96" s="5">
        <v>10</v>
      </c>
      <c r="D96" s="5">
        <v>0</v>
      </c>
      <c r="E96" s="8">
        <v>458</v>
      </c>
      <c r="F96" s="8">
        <v>8837</v>
      </c>
      <c r="G96" s="5">
        <f t="shared" si="3"/>
        <v>5.1827543283919884E-2</v>
      </c>
      <c r="H96" s="8">
        <v>1505</v>
      </c>
      <c r="I96" s="8">
        <v>152</v>
      </c>
      <c r="J96" s="8">
        <v>16666</v>
      </c>
      <c r="K96" s="5">
        <f t="shared" si="4"/>
        <v>3.638864628820961</v>
      </c>
      <c r="L96" s="5">
        <v>2.76372258064516</v>
      </c>
      <c r="M96" s="5">
        <v>38.296897199999997</v>
      </c>
      <c r="N96" s="5">
        <v>14.0184756</v>
      </c>
      <c r="O96" s="5">
        <f t="shared" si="5"/>
        <v>0.63395270570379259</v>
      </c>
      <c r="P96" s="5">
        <v>0.45220889032258099</v>
      </c>
      <c r="Q96" s="5">
        <v>0.46868794838709699</v>
      </c>
    </row>
    <row r="97" spans="1:17" ht="15.5" x14ac:dyDescent="0.35">
      <c r="A97" s="3" t="s">
        <v>344</v>
      </c>
      <c r="B97" s="3" t="s">
        <v>301</v>
      </c>
      <c r="C97" s="5">
        <v>6</v>
      </c>
      <c r="D97" s="5">
        <v>1</v>
      </c>
      <c r="E97" s="8">
        <v>801</v>
      </c>
      <c r="F97" s="8">
        <v>12433</v>
      </c>
      <c r="G97" s="5">
        <f t="shared" si="3"/>
        <v>6.4425319713665247E-2</v>
      </c>
      <c r="H97" s="8">
        <v>2120</v>
      </c>
      <c r="I97" s="8">
        <v>199</v>
      </c>
      <c r="J97" s="8">
        <v>29513</v>
      </c>
      <c r="K97" s="5">
        <f t="shared" si="4"/>
        <v>3.6845193508114855</v>
      </c>
      <c r="L97" s="5">
        <v>2.30562258064516</v>
      </c>
      <c r="M97" s="5">
        <v>49.214757599999999</v>
      </c>
      <c r="N97" s="5">
        <v>15.681340799999999</v>
      </c>
      <c r="O97" s="5">
        <f t="shared" si="5"/>
        <v>0.68136913469223304</v>
      </c>
      <c r="P97" s="5">
        <v>0.50584970322580602</v>
      </c>
      <c r="Q97" s="5">
        <v>0.56421673548387097</v>
      </c>
    </row>
    <row r="98" spans="1:17" ht="15.5" x14ac:dyDescent="0.35">
      <c r="A98" s="3" t="s">
        <v>344</v>
      </c>
      <c r="B98" s="3" t="s">
        <v>302</v>
      </c>
      <c r="C98" s="5">
        <v>16</v>
      </c>
      <c r="D98" s="5">
        <v>1</v>
      </c>
      <c r="E98" s="8">
        <v>1061</v>
      </c>
      <c r="F98" s="8">
        <v>12065</v>
      </c>
      <c r="G98" s="5">
        <f t="shared" si="3"/>
        <v>8.7940323249067545E-2</v>
      </c>
      <c r="H98" s="8">
        <v>3486</v>
      </c>
      <c r="I98" s="8">
        <v>256</v>
      </c>
      <c r="J98" s="8">
        <v>38888</v>
      </c>
      <c r="K98" s="5">
        <f t="shared" si="4"/>
        <v>3.6652214891611687</v>
      </c>
      <c r="L98" s="5">
        <v>2.7850838709677399</v>
      </c>
      <c r="M98" s="5">
        <v>54.696934800000001</v>
      </c>
      <c r="N98" s="5">
        <v>21.2431248</v>
      </c>
      <c r="O98" s="5">
        <f t="shared" si="5"/>
        <v>0.61162129326486503</v>
      </c>
      <c r="P98" s="5">
        <v>0.68526209032258101</v>
      </c>
      <c r="Q98" s="5">
        <v>0.738983380645161</v>
      </c>
    </row>
    <row r="99" spans="1:17" ht="15.5" x14ac:dyDescent="0.35">
      <c r="A99" s="3" t="s">
        <v>347</v>
      </c>
      <c r="B99" s="3" t="s">
        <v>241</v>
      </c>
      <c r="C99" s="5">
        <v>8</v>
      </c>
      <c r="D99" s="5">
        <v>0</v>
      </c>
      <c r="E99" s="8">
        <v>227</v>
      </c>
      <c r="F99" s="8">
        <v>10496</v>
      </c>
      <c r="G99" s="5">
        <f t="shared" si="3"/>
        <v>2.1627286585365852E-2</v>
      </c>
      <c r="H99" s="8">
        <v>1444</v>
      </c>
      <c r="I99" s="8">
        <v>53</v>
      </c>
      <c r="J99" s="8">
        <v>12315</v>
      </c>
      <c r="K99" s="5">
        <f t="shared" si="4"/>
        <v>5.4251101321585899</v>
      </c>
      <c r="L99" s="5">
        <v>2.7074290322580601</v>
      </c>
      <c r="M99" s="5">
        <v>18.678146399999999</v>
      </c>
      <c r="N99" s="5">
        <v>5.3700083999999997</v>
      </c>
      <c r="O99" s="5">
        <f t="shared" si="5"/>
        <v>0.71249778832443456</v>
      </c>
      <c r="P99" s="5">
        <v>0.173226077419355</v>
      </c>
      <c r="Q99" s="5">
        <v>0.201852</v>
      </c>
    </row>
    <row r="100" spans="1:17" ht="15.5" x14ac:dyDescent="0.35">
      <c r="A100" s="3" t="s">
        <v>347</v>
      </c>
      <c r="B100" s="3" t="s">
        <v>242</v>
      </c>
      <c r="C100" s="5">
        <v>11</v>
      </c>
      <c r="D100" s="5">
        <v>1</v>
      </c>
      <c r="E100" s="8">
        <v>912</v>
      </c>
      <c r="F100" s="8">
        <v>18803</v>
      </c>
      <c r="G100" s="5">
        <f t="shared" si="3"/>
        <v>4.8502898473647825E-2</v>
      </c>
      <c r="H100" s="8">
        <v>2758</v>
      </c>
      <c r="I100" s="8">
        <v>118</v>
      </c>
      <c r="J100" s="8">
        <v>19709</v>
      </c>
      <c r="K100" s="5">
        <f t="shared" si="4"/>
        <v>2.1610745614035087</v>
      </c>
      <c r="L100" s="5">
        <v>3.08438387096774</v>
      </c>
      <c r="M100" s="5">
        <v>53.468067599999998</v>
      </c>
      <c r="N100" s="5">
        <v>17.236508400000002</v>
      </c>
      <c r="O100" s="5">
        <f t="shared" si="5"/>
        <v>0.67762986070586917</v>
      </c>
      <c r="P100" s="5">
        <v>0.55601639999999997</v>
      </c>
      <c r="Q100" s="5">
        <v>0.65613762580645196</v>
      </c>
    </row>
    <row r="101" spans="1:17" ht="15.5" x14ac:dyDescent="0.35">
      <c r="A101" s="3" t="s">
        <v>347</v>
      </c>
      <c r="B101" s="3" t="s">
        <v>243</v>
      </c>
      <c r="C101" s="5">
        <v>11</v>
      </c>
      <c r="D101" s="5">
        <v>1</v>
      </c>
      <c r="E101" s="8">
        <v>1239</v>
      </c>
      <c r="F101" s="8">
        <v>26509</v>
      </c>
      <c r="G101" s="5">
        <f t="shared" si="3"/>
        <v>4.6738843411671505E-2</v>
      </c>
      <c r="H101" s="8">
        <v>3815</v>
      </c>
      <c r="I101" s="8">
        <v>164</v>
      </c>
      <c r="J101" s="8">
        <v>55331</v>
      </c>
      <c r="K101" s="5">
        <f t="shared" si="4"/>
        <v>4.465778853914447</v>
      </c>
      <c r="L101" s="5">
        <v>2.6713419354838699</v>
      </c>
      <c r="M101" s="5">
        <v>61.901366400000001</v>
      </c>
      <c r="N101" s="5">
        <v>18.446875200000001</v>
      </c>
      <c r="O101" s="5">
        <f t="shared" si="5"/>
        <v>0.70199567032497678</v>
      </c>
      <c r="P101" s="5">
        <v>0.59506049032258101</v>
      </c>
      <c r="Q101" s="5">
        <v>0.68859197419354801</v>
      </c>
    </row>
    <row r="102" spans="1:17" ht="15.5" x14ac:dyDescent="0.35">
      <c r="A102" s="3" t="s">
        <v>347</v>
      </c>
      <c r="B102" s="3" t="s">
        <v>244</v>
      </c>
      <c r="C102" s="5">
        <v>8</v>
      </c>
      <c r="D102" s="5">
        <v>0</v>
      </c>
      <c r="E102" s="8">
        <v>1257</v>
      </c>
      <c r="F102" s="8">
        <v>11961</v>
      </c>
      <c r="G102" s="5">
        <f t="shared" si="3"/>
        <v>0.10509154752947078</v>
      </c>
      <c r="H102" s="8">
        <v>3198</v>
      </c>
      <c r="I102" s="8">
        <v>205</v>
      </c>
      <c r="J102" s="8">
        <v>35858</v>
      </c>
      <c r="K102" s="5">
        <f t="shared" si="4"/>
        <v>2.8526650755767702</v>
      </c>
      <c r="L102" s="5">
        <v>3.4064516129032301</v>
      </c>
      <c r="M102" s="5">
        <v>86.756961599999997</v>
      </c>
      <c r="N102" s="5">
        <v>30.609543599999999</v>
      </c>
      <c r="O102" s="5">
        <f t="shared" si="5"/>
        <v>0.64718054856360951</v>
      </c>
      <c r="P102" s="5">
        <v>0.98740463225806496</v>
      </c>
      <c r="Q102" s="5">
        <v>1.1088868645161301</v>
      </c>
    </row>
    <row r="103" spans="1:17" ht="15.5" x14ac:dyDescent="0.35">
      <c r="A103" s="3" t="s">
        <v>347</v>
      </c>
      <c r="B103" s="3" t="s">
        <v>245</v>
      </c>
      <c r="C103" s="5">
        <v>9</v>
      </c>
      <c r="D103" s="5">
        <v>0</v>
      </c>
      <c r="E103" s="8">
        <v>1005</v>
      </c>
      <c r="F103" s="8">
        <v>10704</v>
      </c>
      <c r="G103" s="5">
        <f t="shared" si="3"/>
        <v>9.3890134529147976E-2</v>
      </c>
      <c r="H103" s="8">
        <v>2911</v>
      </c>
      <c r="I103" s="8">
        <v>89</v>
      </c>
      <c r="J103" s="8">
        <v>27999</v>
      </c>
      <c r="K103" s="5">
        <f t="shared" si="4"/>
        <v>2.7859701492537314</v>
      </c>
      <c r="L103" s="5">
        <v>3.53261612903226</v>
      </c>
      <c r="M103" s="5">
        <v>70.796559599999995</v>
      </c>
      <c r="N103" s="5">
        <v>25.627946399999999</v>
      </c>
      <c r="O103" s="5">
        <f t="shared" si="5"/>
        <v>0.63800576546660326</v>
      </c>
      <c r="P103" s="5">
        <v>0.82670794838709705</v>
      </c>
      <c r="Q103" s="5">
        <v>0.90482539354838698</v>
      </c>
    </row>
    <row r="104" spans="1:17" s="16" customFormat="1" ht="15.5" x14ac:dyDescent="0.35">
      <c r="A104" s="3" t="s">
        <v>347</v>
      </c>
      <c r="B104" s="3" t="s">
        <v>246</v>
      </c>
      <c r="C104" s="5">
        <v>6</v>
      </c>
      <c r="D104" s="5">
        <v>1</v>
      </c>
      <c r="E104" s="8">
        <v>629</v>
      </c>
      <c r="F104" s="8">
        <v>7352</v>
      </c>
      <c r="G104" s="5">
        <f t="shared" si="3"/>
        <v>8.5554951033732313E-2</v>
      </c>
      <c r="H104" s="8">
        <v>2229</v>
      </c>
      <c r="I104" s="8">
        <v>100</v>
      </c>
      <c r="J104" s="8">
        <v>23702</v>
      </c>
      <c r="K104" s="5">
        <f t="shared" si="4"/>
        <v>3.7682034976152621</v>
      </c>
      <c r="L104" s="5">
        <v>2.16157741935484</v>
      </c>
      <c r="M104" s="5">
        <v>44.543001599999997</v>
      </c>
      <c r="N104" s="5">
        <v>12.894714</v>
      </c>
      <c r="O104" s="5">
        <f t="shared" si="5"/>
        <v>0.71051088752851355</v>
      </c>
      <c r="P104" s="5">
        <v>0.41595851612903201</v>
      </c>
      <c r="Q104" s="5">
        <v>0.48061950967741901</v>
      </c>
    </row>
    <row r="105" spans="1:17" ht="15.5" x14ac:dyDescent="0.35">
      <c r="A105" s="3" t="s">
        <v>347</v>
      </c>
      <c r="B105" s="3" t="s">
        <v>247</v>
      </c>
      <c r="C105" s="5">
        <v>6</v>
      </c>
      <c r="D105" s="5">
        <v>0</v>
      </c>
      <c r="E105" s="8">
        <v>570</v>
      </c>
      <c r="F105" s="8">
        <v>7882</v>
      </c>
      <c r="G105" s="5">
        <f t="shared" si="3"/>
        <v>7.2316670895711754E-2</v>
      </c>
      <c r="H105" s="8">
        <v>2373</v>
      </c>
      <c r="I105" s="8">
        <v>90</v>
      </c>
      <c r="J105" s="8">
        <v>25204</v>
      </c>
      <c r="K105" s="5">
        <f t="shared" si="4"/>
        <v>4.4217543859649115</v>
      </c>
      <c r="L105" s="5">
        <v>2.4568290322580602</v>
      </c>
      <c r="M105" s="5">
        <v>42.566763600000002</v>
      </c>
      <c r="N105" s="5">
        <v>12.0454452</v>
      </c>
      <c r="O105" s="5">
        <f t="shared" si="5"/>
        <v>0.71702229201188317</v>
      </c>
      <c r="P105" s="5">
        <v>0.38856274838709698</v>
      </c>
      <c r="Q105" s="5">
        <v>0.41102221935483901</v>
      </c>
    </row>
    <row r="106" spans="1:17" ht="15.5" x14ac:dyDescent="0.35">
      <c r="A106" s="3" t="s">
        <v>347</v>
      </c>
      <c r="B106" s="3" t="s">
        <v>248</v>
      </c>
      <c r="C106" s="5">
        <v>6</v>
      </c>
      <c r="D106" s="5">
        <v>0</v>
      </c>
      <c r="E106" s="8">
        <v>561</v>
      </c>
      <c r="F106" s="8">
        <v>6240</v>
      </c>
      <c r="G106" s="5">
        <f t="shared" si="3"/>
        <v>8.9903846153846154E-2</v>
      </c>
      <c r="H106" s="8">
        <v>2364</v>
      </c>
      <c r="I106" s="8">
        <v>93</v>
      </c>
      <c r="J106" s="8">
        <v>24098</v>
      </c>
      <c r="K106" s="5">
        <f t="shared" si="4"/>
        <v>4.2955436720142597</v>
      </c>
      <c r="L106" s="5">
        <v>2.8440838709677401</v>
      </c>
      <c r="M106" s="5">
        <v>49.772069999999999</v>
      </c>
      <c r="N106" s="5">
        <v>15.380765999999999</v>
      </c>
      <c r="O106" s="5">
        <f t="shared" si="5"/>
        <v>0.69097596302504605</v>
      </c>
      <c r="P106" s="5">
        <v>0.49615374193548401</v>
      </c>
      <c r="Q106" s="5">
        <v>0.5515776</v>
      </c>
    </row>
    <row r="107" spans="1:17" ht="15.5" x14ac:dyDescent="0.35">
      <c r="A107" s="3" t="s">
        <v>347</v>
      </c>
      <c r="B107" s="3" t="s">
        <v>249</v>
      </c>
      <c r="C107" s="5">
        <v>6</v>
      </c>
      <c r="D107" s="5">
        <v>0</v>
      </c>
      <c r="E107" s="8">
        <v>664</v>
      </c>
      <c r="F107" s="8">
        <v>8291</v>
      </c>
      <c r="G107" s="5">
        <f t="shared" si="3"/>
        <v>8.0086841153057531E-2</v>
      </c>
      <c r="H107" s="8">
        <v>2918</v>
      </c>
      <c r="I107" s="8">
        <v>128</v>
      </c>
      <c r="J107" s="8">
        <v>29147</v>
      </c>
      <c r="K107" s="5">
        <f t="shared" si="4"/>
        <v>4.3896084337349404</v>
      </c>
      <c r="L107" s="5">
        <v>2.18020967741935</v>
      </c>
      <c r="M107" s="5">
        <v>52.690337999999997</v>
      </c>
      <c r="N107" s="5">
        <v>14.8506696</v>
      </c>
      <c r="O107" s="5">
        <f t="shared" si="5"/>
        <v>0.71815193897598451</v>
      </c>
      <c r="P107" s="5">
        <v>0.479053858064516</v>
      </c>
      <c r="Q107" s="5">
        <v>0.51386713548387097</v>
      </c>
    </row>
    <row r="108" spans="1:17" ht="15.5" x14ac:dyDescent="0.35">
      <c r="A108" s="3" t="s">
        <v>347</v>
      </c>
      <c r="B108" s="3" t="s">
        <v>250</v>
      </c>
      <c r="C108" s="5">
        <v>5</v>
      </c>
      <c r="D108" s="5">
        <v>1</v>
      </c>
      <c r="E108" s="8">
        <v>745</v>
      </c>
      <c r="F108" s="8">
        <v>15236</v>
      </c>
      <c r="G108" s="5">
        <f t="shared" si="3"/>
        <v>4.8897348385402994E-2</v>
      </c>
      <c r="H108" s="8">
        <v>5035</v>
      </c>
      <c r="I108" s="8">
        <v>158</v>
      </c>
      <c r="J108" s="8">
        <v>40061</v>
      </c>
      <c r="K108" s="5">
        <f t="shared" si="4"/>
        <v>5.3773154362416111</v>
      </c>
      <c r="L108" s="5">
        <v>2.2623548387096801</v>
      </c>
      <c r="M108" s="5">
        <v>50.043582000000001</v>
      </c>
      <c r="N108" s="5">
        <v>14.637574799999999</v>
      </c>
      <c r="O108" s="5">
        <f t="shared" si="5"/>
        <v>0.70750345568788431</v>
      </c>
      <c r="P108" s="5">
        <v>0.47217983225806498</v>
      </c>
      <c r="Q108" s="5">
        <v>0.49125611612903203</v>
      </c>
    </row>
    <row r="109" spans="1:17" ht="15.5" x14ac:dyDescent="0.35">
      <c r="A109" s="13" t="s">
        <v>347</v>
      </c>
      <c r="B109" s="13" t="s">
        <v>251</v>
      </c>
      <c r="C109" s="14">
        <v>1</v>
      </c>
      <c r="D109" s="14">
        <v>0</v>
      </c>
      <c r="E109" s="15">
        <v>72</v>
      </c>
      <c r="F109" s="15">
        <v>1931</v>
      </c>
      <c r="G109" s="14">
        <f t="shared" si="3"/>
        <v>3.7286380113930609E-2</v>
      </c>
      <c r="H109" s="15">
        <v>687</v>
      </c>
      <c r="I109" s="15">
        <v>9</v>
      </c>
      <c r="J109" s="15">
        <v>2278</v>
      </c>
      <c r="K109" s="14">
        <f t="shared" si="4"/>
        <v>3.1638888888888888</v>
      </c>
      <c r="L109" s="14">
        <v>2.5072838709677399</v>
      </c>
      <c r="M109" s="14">
        <v>7.0923600000000002</v>
      </c>
      <c r="N109" s="14">
        <v>1.9818756</v>
      </c>
      <c r="O109" s="14">
        <f t="shared" si="5"/>
        <v>0.72056190041114665</v>
      </c>
      <c r="P109" s="14">
        <v>6.3931470967741905E-2</v>
      </c>
      <c r="Q109" s="14">
        <v>5.91132774193548E-2</v>
      </c>
    </row>
    <row r="110" spans="1:17" ht="15.5" x14ac:dyDescent="0.35">
      <c r="A110" s="3" t="s">
        <v>347</v>
      </c>
      <c r="B110" s="3" t="s">
        <v>252</v>
      </c>
      <c r="C110" s="5">
        <v>3</v>
      </c>
      <c r="D110" s="5">
        <v>0</v>
      </c>
      <c r="E110" s="8">
        <v>268</v>
      </c>
      <c r="F110" s="8">
        <v>2692</v>
      </c>
      <c r="G110" s="5">
        <f t="shared" si="3"/>
        <v>9.9554234769687958E-2</v>
      </c>
      <c r="H110" s="8">
        <v>1578</v>
      </c>
      <c r="I110" s="8">
        <v>63</v>
      </c>
      <c r="J110" s="8">
        <v>11603</v>
      </c>
      <c r="K110" s="5">
        <f t="shared" si="4"/>
        <v>4.3294776119402991</v>
      </c>
      <c r="L110" s="5">
        <v>2.36642258064516</v>
      </c>
      <c r="M110" s="5">
        <v>27.648572399999999</v>
      </c>
      <c r="N110" s="5">
        <v>9.7932887999999991</v>
      </c>
      <c r="O110" s="5">
        <f t="shared" si="5"/>
        <v>0.64579405192001893</v>
      </c>
      <c r="P110" s="5">
        <v>0.31591254193548401</v>
      </c>
      <c r="Q110" s="5">
        <v>0.32424561290322601</v>
      </c>
    </row>
    <row r="111" spans="1:17" ht="15.5" x14ac:dyDescent="0.35">
      <c r="A111" s="3" t="s">
        <v>347</v>
      </c>
      <c r="B111" s="3" t="s">
        <v>253</v>
      </c>
      <c r="C111" s="5">
        <v>4</v>
      </c>
      <c r="D111" s="5">
        <v>0</v>
      </c>
      <c r="E111" s="8">
        <v>434</v>
      </c>
      <c r="F111" s="8">
        <v>4188</v>
      </c>
      <c r="G111" s="5">
        <f t="shared" si="3"/>
        <v>0.10362941738299905</v>
      </c>
      <c r="H111" s="8">
        <v>1581</v>
      </c>
      <c r="I111" s="8">
        <v>65</v>
      </c>
      <c r="J111" s="8">
        <v>16378</v>
      </c>
      <c r="K111" s="5">
        <f t="shared" si="4"/>
        <v>3.7737327188940091</v>
      </c>
      <c r="L111" s="5">
        <v>2.3060999999999998</v>
      </c>
      <c r="M111" s="5">
        <v>32.249372399999999</v>
      </c>
      <c r="N111" s="5">
        <v>10.219348800000001</v>
      </c>
      <c r="O111" s="5">
        <f t="shared" si="5"/>
        <v>0.68311480070849373</v>
      </c>
      <c r="P111" s="5">
        <v>0.329656412903226</v>
      </c>
      <c r="Q111" s="5">
        <v>0.366115819354839</v>
      </c>
    </row>
    <row r="112" spans="1:17" ht="15.5" x14ac:dyDescent="0.35">
      <c r="A112" s="3" t="s">
        <v>347</v>
      </c>
      <c r="B112" s="3" t="s">
        <v>254</v>
      </c>
      <c r="C112" s="5">
        <v>5</v>
      </c>
      <c r="D112" s="5">
        <v>0</v>
      </c>
      <c r="E112" s="8">
        <v>373</v>
      </c>
      <c r="F112" s="8">
        <v>4071</v>
      </c>
      <c r="G112" s="5">
        <f t="shared" si="3"/>
        <v>9.1623679685580939E-2</v>
      </c>
      <c r="H112" s="8">
        <v>2761</v>
      </c>
      <c r="I112" s="8">
        <v>91</v>
      </c>
      <c r="J112" s="8">
        <v>18815</v>
      </c>
      <c r="K112" s="5">
        <f t="shared" si="4"/>
        <v>5.044235924932976</v>
      </c>
      <c r="L112" s="5">
        <v>2.3350354838709699</v>
      </c>
      <c r="M112" s="5">
        <v>32.705467200000001</v>
      </c>
      <c r="N112" s="5">
        <v>9.0297180000000008</v>
      </c>
      <c r="O112" s="5">
        <f t="shared" si="5"/>
        <v>0.72390799541918782</v>
      </c>
      <c r="P112" s="5">
        <v>0.29128122580645199</v>
      </c>
      <c r="Q112" s="5">
        <v>0.29435609032258098</v>
      </c>
    </row>
    <row r="113" spans="1:17" ht="15.5" x14ac:dyDescent="0.35">
      <c r="A113" s="3" t="s">
        <v>347</v>
      </c>
      <c r="B113" s="3" t="s">
        <v>255</v>
      </c>
      <c r="C113" s="5">
        <v>7</v>
      </c>
      <c r="D113" s="5">
        <v>0</v>
      </c>
      <c r="E113" s="8">
        <v>511</v>
      </c>
      <c r="F113" s="8">
        <v>4997</v>
      </c>
      <c r="G113" s="5">
        <f t="shared" si="3"/>
        <v>0.10226135681408845</v>
      </c>
      <c r="H113" s="8">
        <v>2831</v>
      </c>
      <c r="I113" s="8">
        <v>103</v>
      </c>
      <c r="J113" s="8">
        <v>18362</v>
      </c>
      <c r="K113" s="5">
        <f t="shared" si="4"/>
        <v>3.5933463796477492</v>
      </c>
      <c r="L113" s="5">
        <v>2.5673483870967702</v>
      </c>
      <c r="M113" s="5">
        <v>44.017603200000003</v>
      </c>
      <c r="N113" s="5">
        <v>13.7642328</v>
      </c>
      <c r="O113" s="5">
        <f t="shared" si="5"/>
        <v>0.68730162936268191</v>
      </c>
      <c r="P113" s="5">
        <v>0.44400750967741898</v>
      </c>
      <c r="Q113" s="5">
        <v>0.49190934193548402</v>
      </c>
    </row>
    <row r="114" spans="1:17" ht="15.5" x14ac:dyDescent="0.35">
      <c r="A114" s="3" t="s">
        <v>347</v>
      </c>
      <c r="B114" s="3" t="s">
        <v>256</v>
      </c>
      <c r="C114" s="5">
        <v>13</v>
      </c>
      <c r="D114" s="5">
        <v>1</v>
      </c>
      <c r="E114" s="8">
        <v>882</v>
      </c>
      <c r="F114" s="8">
        <v>7446</v>
      </c>
      <c r="G114" s="5">
        <f t="shared" si="3"/>
        <v>0.11845286059629331</v>
      </c>
      <c r="H114" s="8">
        <v>11590</v>
      </c>
      <c r="I114" s="8">
        <v>255</v>
      </c>
      <c r="J114" s="8">
        <v>87910</v>
      </c>
      <c r="K114" s="5">
        <f t="shared" si="4"/>
        <v>9.9671201814058943</v>
      </c>
      <c r="L114" s="5">
        <v>1.5797451612903199</v>
      </c>
      <c r="M114" s="5">
        <v>183.62793959999999</v>
      </c>
      <c r="N114" s="5">
        <v>67.445881200000002</v>
      </c>
      <c r="O114" s="5">
        <f t="shared" si="5"/>
        <v>0.63270359975220236</v>
      </c>
      <c r="P114" s="5">
        <v>2.1756735870967701</v>
      </c>
      <c r="Q114" s="5">
        <v>1.7985950709677401</v>
      </c>
    </row>
    <row r="115" spans="1:17" ht="15.5" x14ac:dyDescent="0.35">
      <c r="A115" s="3" t="s">
        <v>347</v>
      </c>
      <c r="B115" s="3" t="s">
        <v>257</v>
      </c>
      <c r="C115" s="5">
        <v>5</v>
      </c>
      <c r="D115" s="5">
        <v>0</v>
      </c>
      <c r="E115" s="8">
        <v>964</v>
      </c>
      <c r="F115" s="8">
        <v>15065</v>
      </c>
      <c r="G115" s="5">
        <f t="shared" si="3"/>
        <v>6.3989379356123463E-2</v>
      </c>
      <c r="H115" s="8">
        <v>2742</v>
      </c>
      <c r="I115" s="8">
        <v>138</v>
      </c>
      <c r="J115" s="8">
        <v>32703</v>
      </c>
      <c r="K115" s="5">
        <f t="shared" si="4"/>
        <v>3.3924273858921166</v>
      </c>
      <c r="L115" s="5">
        <v>2.9903645161290302</v>
      </c>
      <c r="M115" s="5">
        <v>63.187484400000002</v>
      </c>
      <c r="N115" s="5">
        <v>19.5314652</v>
      </c>
      <c r="O115" s="5">
        <f t="shared" si="5"/>
        <v>0.69089661686231019</v>
      </c>
      <c r="P115" s="5">
        <v>0.63004726451612902</v>
      </c>
      <c r="Q115" s="5">
        <v>0.68511367741935503</v>
      </c>
    </row>
    <row r="116" spans="1:17" ht="15.5" x14ac:dyDescent="0.35">
      <c r="A116" s="3" t="s">
        <v>347</v>
      </c>
      <c r="B116" s="3" t="s">
        <v>258</v>
      </c>
      <c r="C116" s="5">
        <v>2</v>
      </c>
      <c r="D116" s="5">
        <v>0</v>
      </c>
      <c r="E116" s="8">
        <v>171</v>
      </c>
      <c r="F116" s="8">
        <v>2182</v>
      </c>
      <c r="G116" s="5">
        <f t="shared" si="3"/>
        <v>7.8368469294225487E-2</v>
      </c>
      <c r="H116" s="8">
        <v>989</v>
      </c>
      <c r="I116" s="8">
        <v>53</v>
      </c>
      <c r="J116" s="8">
        <v>8124</v>
      </c>
      <c r="K116" s="5">
        <f t="shared" si="4"/>
        <v>4.7508771929824558</v>
      </c>
      <c r="L116" s="5">
        <v>2.2296096774193499</v>
      </c>
      <c r="M116" s="5">
        <v>15.164496</v>
      </c>
      <c r="N116" s="5">
        <v>4.2172488000000001</v>
      </c>
      <c r="O116" s="5">
        <f t="shared" si="5"/>
        <v>0.72189983762071619</v>
      </c>
      <c r="P116" s="5">
        <v>0.136040283870968</v>
      </c>
      <c r="Q116" s="5">
        <v>0.146109367741935</v>
      </c>
    </row>
    <row r="117" spans="1:17" ht="15.5" x14ac:dyDescent="0.35">
      <c r="A117" s="3" t="s">
        <v>355</v>
      </c>
      <c r="B117" s="3" t="s">
        <v>139</v>
      </c>
      <c r="C117" s="5">
        <v>5</v>
      </c>
      <c r="D117" s="5">
        <v>0</v>
      </c>
      <c r="E117" s="8">
        <v>77</v>
      </c>
      <c r="F117" s="8">
        <v>6190</v>
      </c>
      <c r="G117" s="5">
        <f t="shared" si="3"/>
        <v>1.2439418416801292E-2</v>
      </c>
      <c r="H117" s="8">
        <v>231</v>
      </c>
      <c r="I117" s="8">
        <v>28</v>
      </c>
      <c r="J117" s="8">
        <v>4475</v>
      </c>
      <c r="K117" s="5">
        <f t="shared" si="4"/>
        <v>5.8116883116883118</v>
      </c>
      <c r="L117" s="5">
        <v>2.6003032258064498</v>
      </c>
      <c r="M117" s="5">
        <v>5.1056244</v>
      </c>
      <c r="N117" s="5">
        <v>1.7875403999999999</v>
      </c>
      <c r="O117" s="5">
        <f t="shared" si="5"/>
        <v>0.64988799411096521</v>
      </c>
      <c r="P117" s="5">
        <v>5.7662593548387098E-2</v>
      </c>
      <c r="Q117" s="5">
        <v>5.0340193548387098E-2</v>
      </c>
    </row>
    <row r="118" spans="1:17" ht="15.5" x14ac:dyDescent="0.35">
      <c r="A118" s="3" t="s">
        <v>355</v>
      </c>
      <c r="B118" s="3" t="s">
        <v>140</v>
      </c>
      <c r="C118" s="5">
        <v>21</v>
      </c>
      <c r="D118" s="5">
        <v>1</v>
      </c>
      <c r="E118" s="8">
        <v>112</v>
      </c>
      <c r="F118" s="8">
        <v>32800</v>
      </c>
      <c r="G118" s="5">
        <f t="shared" si="3"/>
        <v>3.4146341463414634E-3</v>
      </c>
      <c r="H118" s="8">
        <v>299</v>
      </c>
      <c r="I118" s="8">
        <v>43</v>
      </c>
      <c r="J118" s="8">
        <v>6886</v>
      </c>
      <c r="K118" s="5">
        <f t="shared" si="4"/>
        <v>6.1482142857142854</v>
      </c>
      <c r="L118" s="5">
        <v>2.6165903225806502</v>
      </c>
      <c r="M118" s="5">
        <v>6.6503591999999996</v>
      </c>
      <c r="N118" s="5">
        <v>2.3017607999999998</v>
      </c>
      <c r="O118" s="5">
        <f t="shared" si="5"/>
        <v>0.65388925157606526</v>
      </c>
      <c r="P118" s="5">
        <v>7.4250348387096807E-2</v>
      </c>
      <c r="Q118" s="5">
        <v>7.44698322580645E-2</v>
      </c>
    </row>
    <row r="119" spans="1:17" ht="15.5" x14ac:dyDescent="0.35">
      <c r="A119" s="3" t="s">
        <v>355</v>
      </c>
      <c r="B119" s="3" t="s">
        <v>141</v>
      </c>
      <c r="C119" s="5">
        <v>18</v>
      </c>
      <c r="D119" s="5">
        <v>3</v>
      </c>
      <c r="E119" s="8">
        <v>233</v>
      </c>
      <c r="F119" s="8">
        <v>32704</v>
      </c>
      <c r="G119" s="5">
        <f t="shared" si="3"/>
        <v>7.124510763209393E-3</v>
      </c>
      <c r="H119" s="8">
        <v>763</v>
      </c>
      <c r="I119" s="8">
        <v>95</v>
      </c>
      <c r="J119" s="8">
        <v>15422</v>
      </c>
      <c r="K119" s="5">
        <f t="shared" si="4"/>
        <v>6.6188841201716739</v>
      </c>
      <c r="L119" s="5">
        <v>2.3532999999999999</v>
      </c>
      <c r="M119" s="5">
        <v>15.530778</v>
      </c>
      <c r="N119" s="5">
        <v>5.6357856000000002</v>
      </c>
      <c r="O119" s="5">
        <f t="shared" si="5"/>
        <v>0.63712148869811935</v>
      </c>
      <c r="P119" s="5">
        <v>0.18179953548387101</v>
      </c>
      <c r="Q119" s="5">
        <v>0.18098535483871001</v>
      </c>
    </row>
    <row r="120" spans="1:17" ht="15.5" x14ac:dyDescent="0.35">
      <c r="A120" s="3" t="s">
        <v>355</v>
      </c>
      <c r="B120" s="3" t="s">
        <v>142</v>
      </c>
      <c r="C120" s="5">
        <v>9</v>
      </c>
      <c r="D120" s="5">
        <v>0</v>
      </c>
      <c r="E120" s="8">
        <v>141</v>
      </c>
      <c r="F120" s="8">
        <v>22682</v>
      </c>
      <c r="G120" s="5">
        <f t="shared" si="3"/>
        <v>6.2163830350057316E-3</v>
      </c>
      <c r="H120" s="8">
        <v>476</v>
      </c>
      <c r="I120" s="8">
        <v>51</v>
      </c>
      <c r="J120" s="8">
        <v>8867</v>
      </c>
      <c r="K120" s="5">
        <f t="shared" si="4"/>
        <v>6.2886524822695034</v>
      </c>
      <c r="L120" s="5">
        <v>2.4234483870967698</v>
      </c>
      <c r="M120" s="5">
        <v>8.6972292000000007</v>
      </c>
      <c r="N120" s="5">
        <v>2.9872800000000002</v>
      </c>
      <c r="O120" s="5">
        <f t="shared" si="5"/>
        <v>0.65652509192237907</v>
      </c>
      <c r="P120" s="5">
        <v>9.6363870967741905E-2</v>
      </c>
      <c r="Q120" s="5">
        <v>8.9374877419354806E-2</v>
      </c>
    </row>
    <row r="121" spans="1:17" s="16" customFormat="1" ht="15.5" x14ac:dyDescent="0.35">
      <c r="A121" s="13" t="s">
        <v>355</v>
      </c>
      <c r="B121" s="13" t="s">
        <v>143</v>
      </c>
      <c r="C121" s="14">
        <v>60</v>
      </c>
      <c r="D121" s="14">
        <v>1</v>
      </c>
      <c r="E121" s="15">
        <v>951</v>
      </c>
      <c r="F121" s="15">
        <v>53076</v>
      </c>
      <c r="G121" s="14">
        <f t="shared" si="3"/>
        <v>1.7917702916572461E-2</v>
      </c>
      <c r="H121" s="15">
        <v>5249</v>
      </c>
      <c r="I121" s="15">
        <v>331</v>
      </c>
      <c r="J121" s="15">
        <v>78888</v>
      </c>
      <c r="K121" s="14">
        <f t="shared" si="4"/>
        <v>8.2952681388012621</v>
      </c>
      <c r="L121" s="14">
        <v>2.17010967741935</v>
      </c>
      <c r="M121" s="14">
        <v>77.684054399999994</v>
      </c>
      <c r="N121" s="14">
        <v>29.778904799999999</v>
      </c>
      <c r="O121" s="14">
        <f t="shared" si="5"/>
        <v>0.61666644422719519</v>
      </c>
      <c r="P121" s="14">
        <v>0.96060983225806496</v>
      </c>
      <c r="Q121" s="14">
        <v>0.98930055483871004</v>
      </c>
    </row>
    <row r="122" spans="1:17" ht="15.5" x14ac:dyDescent="0.35">
      <c r="A122" s="3" t="s">
        <v>355</v>
      </c>
      <c r="B122" s="3" t="s">
        <v>144</v>
      </c>
      <c r="C122" s="5">
        <v>14</v>
      </c>
      <c r="D122" s="5">
        <v>2</v>
      </c>
      <c r="E122" s="8">
        <v>42</v>
      </c>
      <c r="F122" s="8">
        <v>83000</v>
      </c>
      <c r="G122" s="5">
        <f t="shared" si="3"/>
        <v>5.0602409638554212E-4</v>
      </c>
      <c r="H122" s="8">
        <v>139</v>
      </c>
      <c r="I122" s="8">
        <v>34</v>
      </c>
      <c r="J122" s="8">
        <v>2404</v>
      </c>
      <c r="K122" s="5">
        <f t="shared" si="4"/>
        <v>5.7238095238095239</v>
      </c>
      <c r="L122" s="5">
        <v>2.25211290322581</v>
      </c>
      <c r="M122" s="5">
        <v>2.3818535999999999</v>
      </c>
      <c r="N122" s="5">
        <v>0.81479520000000005</v>
      </c>
      <c r="O122" s="5">
        <f t="shared" si="5"/>
        <v>0.65791549908860891</v>
      </c>
      <c r="P122" s="5">
        <v>2.6283716129032301E-2</v>
      </c>
      <c r="Q122" s="5">
        <v>2.3996903225806498E-2</v>
      </c>
    </row>
    <row r="123" spans="1:17" ht="15.5" x14ac:dyDescent="0.35">
      <c r="A123" s="3" t="s">
        <v>355</v>
      </c>
      <c r="B123" s="3" t="s">
        <v>145</v>
      </c>
      <c r="C123" s="5">
        <v>17</v>
      </c>
      <c r="D123" s="5">
        <v>1</v>
      </c>
      <c r="E123" s="8">
        <v>272</v>
      </c>
      <c r="F123" s="8">
        <v>21205</v>
      </c>
      <c r="G123" s="5">
        <f t="shared" si="3"/>
        <v>1.2827163404857345E-2</v>
      </c>
      <c r="H123" s="8">
        <v>2568</v>
      </c>
      <c r="I123" s="8">
        <v>116</v>
      </c>
      <c r="J123" s="8">
        <v>16982</v>
      </c>
      <c r="K123" s="5">
        <f t="shared" si="4"/>
        <v>6.2433823529411772</v>
      </c>
      <c r="L123" s="5">
        <v>2.8488935483871001</v>
      </c>
      <c r="M123" s="5">
        <v>27.805096800000001</v>
      </c>
      <c r="N123" s="5">
        <v>10.943424</v>
      </c>
      <c r="O123" s="5">
        <f t="shared" si="5"/>
        <v>0.60642381219834496</v>
      </c>
      <c r="P123" s="5">
        <v>0.35301367741935502</v>
      </c>
      <c r="Q123" s="5">
        <v>0.34093997419354799</v>
      </c>
    </row>
    <row r="124" spans="1:17" ht="15.5" x14ac:dyDescent="0.35">
      <c r="A124" s="3" t="s">
        <v>355</v>
      </c>
      <c r="B124" s="3" t="s">
        <v>146</v>
      </c>
      <c r="C124" s="5">
        <v>31</v>
      </c>
      <c r="D124" s="5">
        <v>2</v>
      </c>
      <c r="E124" s="8">
        <v>250</v>
      </c>
      <c r="F124" s="8">
        <v>38827</v>
      </c>
      <c r="G124" s="5">
        <f t="shared" si="3"/>
        <v>6.4388183480567646E-3</v>
      </c>
      <c r="H124" s="8">
        <v>825</v>
      </c>
      <c r="I124" s="8">
        <v>85</v>
      </c>
      <c r="J124" s="8">
        <v>15674</v>
      </c>
      <c r="K124" s="5">
        <f t="shared" si="4"/>
        <v>6.2696000000000005</v>
      </c>
      <c r="L124" s="5">
        <v>2.5310516129032301</v>
      </c>
      <c r="M124" s="5">
        <v>12.3295932</v>
      </c>
      <c r="N124" s="5">
        <v>5.3053379999999999</v>
      </c>
      <c r="O124" s="5">
        <f t="shared" si="5"/>
        <v>0.56970697135409143</v>
      </c>
      <c r="P124" s="5">
        <v>0.17113993548387099</v>
      </c>
      <c r="Q124" s="5">
        <v>0.17139599999999999</v>
      </c>
    </row>
    <row r="125" spans="1:17" ht="15.5" x14ac:dyDescent="0.35">
      <c r="A125" s="3" t="s">
        <v>355</v>
      </c>
      <c r="B125" s="3" t="s">
        <v>147</v>
      </c>
      <c r="C125" s="5">
        <v>16</v>
      </c>
      <c r="D125" s="5">
        <v>0</v>
      </c>
      <c r="E125" s="8">
        <v>522</v>
      </c>
      <c r="F125" s="8">
        <v>34873</v>
      </c>
      <c r="G125" s="5">
        <f t="shared" si="3"/>
        <v>1.4968600349840851E-2</v>
      </c>
      <c r="H125" s="8">
        <v>1101</v>
      </c>
      <c r="I125" s="8">
        <v>66</v>
      </c>
      <c r="J125" s="8">
        <v>12444</v>
      </c>
      <c r="K125" s="5">
        <f t="shared" si="4"/>
        <v>2.3839080459770114</v>
      </c>
      <c r="L125" s="5">
        <v>2.6518935483871</v>
      </c>
      <c r="M125" s="5">
        <v>39.416673600000003</v>
      </c>
      <c r="N125" s="5">
        <v>14.213167199999999</v>
      </c>
      <c r="O125" s="5">
        <f t="shared" si="5"/>
        <v>0.6394123120526336</v>
      </c>
      <c r="P125" s="5">
        <v>0.45848926451612898</v>
      </c>
      <c r="Q125" s="5">
        <v>0.48443957419354799</v>
      </c>
    </row>
    <row r="126" spans="1:17" ht="15.5" x14ac:dyDescent="0.35">
      <c r="A126" s="3" t="s">
        <v>355</v>
      </c>
      <c r="B126" s="3" t="s">
        <v>148</v>
      </c>
      <c r="C126" s="5">
        <v>20</v>
      </c>
      <c r="D126" s="5">
        <v>1</v>
      </c>
      <c r="E126" s="8">
        <v>169</v>
      </c>
      <c r="F126" s="8">
        <v>22598</v>
      </c>
      <c r="G126" s="5">
        <f t="shared" si="3"/>
        <v>7.4785379237100628E-3</v>
      </c>
      <c r="H126" s="8">
        <v>552</v>
      </c>
      <c r="I126" s="8">
        <v>68</v>
      </c>
      <c r="J126" s="8">
        <v>11429</v>
      </c>
      <c r="K126" s="5">
        <f t="shared" si="4"/>
        <v>6.7627218934911237</v>
      </c>
      <c r="L126" s="5">
        <v>2.2375935483871001</v>
      </c>
      <c r="M126" s="5">
        <v>7.4959344000000003</v>
      </c>
      <c r="N126" s="5">
        <v>2.9519964000000001</v>
      </c>
      <c r="O126" s="5">
        <f t="shared" si="5"/>
        <v>0.60618700184996288</v>
      </c>
      <c r="P126" s="5">
        <v>9.5225690322580603E-2</v>
      </c>
      <c r="Q126" s="5">
        <v>8.2120412903225803E-2</v>
      </c>
    </row>
    <row r="127" spans="1:17" ht="15.5" x14ac:dyDescent="0.35">
      <c r="A127" s="3" t="s">
        <v>355</v>
      </c>
      <c r="B127" s="3" t="s">
        <v>149</v>
      </c>
      <c r="C127" s="5">
        <v>4</v>
      </c>
      <c r="D127" s="5">
        <v>0</v>
      </c>
      <c r="E127" s="8">
        <v>98</v>
      </c>
      <c r="F127" s="8">
        <v>14665</v>
      </c>
      <c r="G127" s="5">
        <f t="shared" si="3"/>
        <v>6.6825775656324578E-3</v>
      </c>
      <c r="H127" s="8">
        <v>336</v>
      </c>
      <c r="I127" s="8">
        <v>47</v>
      </c>
      <c r="J127" s="8">
        <v>8552</v>
      </c>
      <c r="K127" s="5">
        <f t="shared" si="4"/>
        <v>8.7265306122448987</v>
      </c>
      <c r="L127" s="5">
        <v>2.8468548387096799</v>
      </c>
      <c r="M127" s="5">
        <v>6.0726996</v>
      </c>
      <c r="N127" s="5">
        <v>2.1710916</v>
      </c>
      <c r="O127" s="5">
        <f t="shared" si="5"/>
        <v>0.64248328700467905</v>
      </c>
      <c r="P127" s="5">
        <v>7.0035212903225799E-2</v>
      </c>
      <c r="Q127" s="5">
        <v>6.4216800000000004E-2</v>
      </c>
    </row>
    <row r="128" spans="1:17" ht="15.5" x14ac:dyDescent="0.35">
      <c r="A128" s="3" t="s">
        <v>355</v>
      </c>
      <c r="B128" s="3" t="s">
        <v>150</v>
      </c>
      <c r="C128" s="5">
        <v>16</v>
      </c>
      <c r="D128" s="5">
        <v>2</v>
      </c>
      <c r="E128" s="8">
        <v>158</v>
      </c>
      <c r="F128" s="8">
        <v>69345</v>
      </c>
      <c r="G128" s="5">
        <f t="shared" si="3"/>
        <v>2.2784627586704162E-3</v>
      </c>
      <c r="H128" s="8">
        <v>579</v>
      </c>
      <c r="I128" s="8">
        <v>59</v>
      </c>
      <c r="J128" s="8">
        <v>7677</v>
      </c>
      <c r="K128" s="5">
        <f t="shared" si="4"/>
        <v>4.8588607594936706</v>
      </c>
      <c r="L128" s="5">
        <v>2.2228612903225802</v>
      </c>
      <c r="M128" s="5">
        <v>8.9378639999999994</v>
      </c>
      <c r="N128" s="5">
        <v>3.0472847999999999</v>
      </c>
      <c r="O128" s="5">
        <f t="shared" si="5"/>
        <v>0.65905894294207212</v>
      </c>
      <c r="P128" s="5">
        <v>9.8299509677419294E-2</v>
      </c>
      <c r="Q128" s="5">
        <v>9.6694141935483896E-2</v>
      </c>
    </row>
    <row r="129" spans="1:17" ht="15.5" x14ac:dyDescent="0.35">
      <c r="A129" s="3" t="s">
        <v>355</v>
      </c>
      <c r="B129" s="3" t="s">
        <v>151</v>
      </c>
      <c r="C129" s="5">
        <v>27</v>
      </c>
      <c r="D129" s="5">
        <v>1</v>
      </c>
      <c r="E129" s="8">
        <v>527</v>
      </c>
      <c r="F129" s="8">
        <v>42469</v>
      </c>
      <c r="G129" s="5">
        <f t="shared" si="3"/>
        <v>1.2409051308012904E-2</v>
      </c>
      <c r="H129" s="8">
        <v>1129</v>
      </c>
      <c r="I129" s="8">
        <v>133</v>
      </c>
      <c r="J129" s="8">
        <v>29922</v>
      </c>
      <c r="K129" s="5">
        <f t="shared" si="4"/>
        <v>5.6777988614800758</v>
      </c>
      <c r="L129" s="5">
        <v>2.72216129032258</v>
      </c>
      <c r="M129" s="5">
        <v>26.780738400000001</v>
      </c>
      <c r="N129" s="5">
        <v>10.8495936</v>
      </c>
      <c r="O129" s="5">
        <f t="shared" si="5"/>
        <v>0.59487324666148855</v>
      </c>
      <c r="P129" s="5">
        <v>0.34998689032258101</v>
      </c>
      <c r="Q129" s="5">
        <v>0.346414529032258</v>
      </c>
    </row>
    <row r="130" spans="1:17" ht="15.5" x14ac:dyDescent="0.35">
      <c r="A130" s="3" t="s">
        <v>96</v>
      </c>
      <c r="B130" s="3" t="s">
        <v>97</v>
      </c>
      <c r="C130" s="5">
        <v>2</v>
      </c>
      <c r="D130" s="5">
        <v>0</v>
      </c>
      <c r="E130" s="8">
        <v>114</v>
      </c>
      <c r="F130" s="8">
        <v>2538</v>
      </c>
      <c r="G130" s="5">
        <f t="shared" ref="G130:G193" si="6">E130/F130</f>
        <v>4.4917257683215132E-2</v>
      </c>
      <c r="H130" s="8">
        <v>868</v>
      </c>
      <c r="I130" s="8">
        <v>26</v>
      </c>
      <c r="J130" s="8">
        <v>6270</v>
      </c>
      <c r="K130" s="5">
        <f t="shared" ref="K130:K193" si="7">(J130/(E130*10000))*1000</f>
        <v>5.5</v>
      </c>
      <c r="L130" s="5">
        <v>1.9764032258064499</v>
      </c>
      <c r="M130" s="5">
        <v>17.2471356</v>
      </c>
      <c r="N130" s="5">
        <v>2.9043359999999998</v>
      </c>
      <c r="O130" s="5">
        <f t="shared" ref="O130:O193" si="8">1-N130/M130</f>
        <v>0.83160473325205375</v>
      </c>
      <c r="P130" s="5">
        <v>9.3688258064516097E-2</v>
      </c>
      <c r="Q130" s="5">
        <v>0.141417638709677</v>
      </c>
    </row>
    <row r="131" spans="1:17" ht="15.5" x14ac:dyDescent="0.35">
      <c r="A131" s="3" t="s">
        <v>96</v>
      </c>
      <c r="B131" s="3" t="s">
        <v>98</v>
      </c>
      <c r="C131" s="5">
        <v>5</v>
      </c>
      <c r="D131" s="5">
        <v>1</v>
      </c>
      <c r="E131" s="8">
        <v>346</v>
      </c>
      <c r="F131" s="8">
        <v>23666</v>
      </c>
      <c r="G131" s="5">
        <f t="shared" si="6"/>
        <v>1.4620130144511113E-2</v>
      </c>
      <c r="H131" s="8">
        <v>2013</v>
      </c>
      <c r="I131" s="8">
        <v>59</v>
      </c>
      <c r="J131" s="8">
        <v>20411</v>
      </c>
      <c r="K131" s="5">
        <f t="shared" si="7"/>
        <v>5.899132947976879</v>
      </c>
      <c r="L131" s="5">
        <v>1.8824161290322601</v>
      </c>
      <c r="M131" s="5">
        <v>21.81897</v>
      </c>
      <c r="N131" s="5">
        <v>4.7074932</v>
      </c>
      <c r="O131" s="5">
        <f t="shared" si="8"/>
        <v>0.78424768905223297</v>
      </c>
      <c r="P131" s="5">
        <v>0.15185461935483899</v>
      </c>
      <c r="Q131" s="5">
        <v>0.19269534193548399</v>
      </c>
    </row>
    <row r="132" spans="1:17" ht="15.5" x14ac:dyDescent="0.35">
      <c r="A132" s="3" t="s">
        <v>96</v>
      </c>
      <c r="B132" s="3" t="s">
        <v>99</v>
      </c>
      <c r="C132" s="5">
        <v>8</v>
      </c>
      <c r="D132" s="5">
        <v>0</v>
      </c>
      <c r="E132" s="8">
        <v>305</v>
      </c>
      <c r="F132" s="8">
        <v>9752</v>
      </c>
      <c r="G132" s="5">
        <f t="shared" si="6"/>
        <v>3.127563576702215E-2</v>
      </c>
      <c r="H132" s="8">
        <v>1595</v>
      </c>
      <c r="I132" s="8">
        <v>38</v>
      </c>
      <c r="J132" s="8">
        <v>10797</v>
      </c>
      <c r="K132" s="5">
        <f t="shared" si="7"/>
        <v>3.54</v>
      </c>
      <c r="L132" s="5">
        <v>2.2573838709677401</v>
      </c>
      <c r="M132" s="5">
        <v>27.505818000000001</v>
      </c>
      <c r="N132" s="5">
        <v>4.888998</v>
      </c>
      <c r="O132" s="5">
        <f t="shared" si="8"/>
        <v>0.82225585874232132</v>
      </c>
      <c r="P132" s="5">
        <v>0.15770961290322599</v>
      </c>
      <c r="Q132" s="5">
        <v>0.21227539354838701</v>
      </c>
    </row>
    <row r="133" spans="1:17" ht="15.5" x14ac:dyDescent="0.35">
      <c r="A133" s="3" t="s">
        <v>96</v>
      </c>
      <c r="B133" s="3" t="s">
        <v>100</v>
      </c>
      <c r="C133" s="5">
        <v>3</v>
      </c>
      <c r="D133" s="5">
        <v>0</v>
      </c>
      <c r="E133" s="8">
        <v>125</v>
      </c>
      <c r="F133" s="8">
        <v>2622</v>
      </c>
      <c r="G133" s="5">
        <f t="shared" si="6"/>
        <v>4.7673531655225018E-2</v>
      </c>
      <c r="H133" s="8">
        <v>651</v>
      </c>
      <c r="I133" s="8">
        <v>16</v>
      </c>
      <c r="J133" s="8">
        <v>4329</v>
      </c>
      <c r="K133" s="5">
        <f t="shared" si="7"/>
        <v>3.4632000000000001</v>
      </c>
      <c r="L133" s="5">
        <v>2.6342838709677401</v>
      </c>
      <c r="M133" s="5">
        <v>17.2552032</v>
      </c>
      <c r="N133" s="5">
        <v>2.835</v>
      </c>
      <c r="O133" s="5">
        <f t="shared" si="8"/>
        <v>0.83570173198539899</v>
      </c>
      <c r="P133" s="5">
        <v>9.1451612903225801E-2</v>
      </c>
      <c r="Q133" s="5">
        <v>0.14304390967741901</v>
      </c>
    </row>
    <row r="134" spans="1:17" ht="15.5" x14ac:dyDescent="0.35">
      <c r="A134" s="3" t="s">
        <v>96</v>
      </c>
      <c r="B134" s="3" t="s">
        <v>101</v>
      </c>
      <c r="C134" s="5">
        <v>13</v>
      </c>
      <c r="D134" s="5">
        <v>0</v>
      </c>
      <c r="E134" s="8">
        <v>515</v>
      </c>
      <c r="F134" s="8">
        <v>8904</v>
      </c>
      <c r="G134" s="5">
        <f t="shared" si="6"/>
        <v>5.7839173405211143E-2</v>
      </c>
      <c r="H134" s="8">
        <v>2301</v>
      </c>
      <c r="I134" s="8">
        <v>64</v>
      </c>
      <c r="J134" s="8">
        <v>16646</v>
      </c>
      <c r="K134" s="5">
        <f t="shared" si="7"/>
        <v>3.2322330097087377</v>
      </c>
      <c r="L134" s="5">
        <v>2.13435483870968</v>
      </c>
      <c r="M134" s="5">
        <v>53.8981128</v>
      </c>
      <c r="N134" s="5">
        <v>7.9692011999999997</v>
      </c>
      <c r="O134" s="5">
        <f t="shared" si="8"/>
        <v>0.8521432238347314</v>
      </c>
      <c r="P134" s="5">
        <v>0.25707100645161302</v>
      </c>
      <c r="Q134" s="5">
        <v>0.44000454193548399</v>
      </c>
    </row>
    <row r="135" spans="1:17" ht="15.5" x14ac:dyDescent="0.35">
      <c r="A135" s="3" t="s">
        <v>96</v>
      </c>
      <c r="B135" s="3" t="s">
        <v>102</v>
      </c>
      <c r="C135" s="5">
        <v>7</v>
      </c>
      <c r="D135" s="5">
        <v>1</v>
      </c>
      <c r="E135" s="8">
        <v>391</v>
      </c>
      <c r="F135" s="8">
        <v>21230</v>
      </c>
      <c r="G135" s="5">
        <f t="shared" si="6"/>
        <v>1.8417333961375411E-2</v>
      </c>
      <c r="H135" s="8">
        <v>4461</v>
      </c>
      <c r="I135" s="8">
        <v>98</v>
      </c>
      <c r="J135" s="8">
        <v>22093</v>
      </c>
      <c r="K135" s="5">
        <f t="shared" si="7"/>
        <v>5.650383631713555</v>
      </c>
      <c r="L135" s="5">
        <v>2.0133290322580599</v>
      </c>
      <c r="M135" s="5">
        <v>31.851500399999999</v>
      </c>
      <c r="N135" s="5">
        <v>6.9348635999999999</v>
      </c>
      <c r="O135" s="5">
        <f t="shared" si="8"/>
        <v>0.78227513577350971</v>
      </c>
      <c r="P135" s="5">
        <v>0.223705277419355</v>
      </c>
      <c r="Q135" s="5">
        <v>0.27412176774193497</v>
      </c>
    </row>
    <row r="136" spans="1:17" ht="15.5" x14ac:dyDescent="0.35">
      <c r="A136" s="3" t="s">
        <v>96</v>
      </c>
      <c r="B136" s="3" t="s">
        <v>103</v>
      </c>
      <c r="C136" s="5">
        <v>8</v>
      </c>
      <c r="D136" s="5">
        <v>1</v>
      </c>
      <c r="E136" s="8">
        <v>339</v>
      </c>
      <c r="F136" s="8">
        <v>24060</v>
      </c>
      <c r="G136" s="5">
        <f t="shared" si="6"/>
        <v>1.4089775561097256E-2</v>
      </c>
      <c r="H136" s="8">
        <v>1159</v>
      </c>
      <c r="I136" s="8">
        <v>60</v>
      </c>
      <c r="J136" s="8">
        <v>17340</v>
      </c>
      <c r="K136" s="5">
        <f t="shared" si="7"/>
        <v>5.115044247787611</v>
      </c>
      <c r="L136" s="5">
        <v>3.0263032258064499</v>
      </c>
      <c r="M136" s="5">
        <v>29.301652799999999</v>
      </c>
      <c r="N136" s="5">
        <v>6.5224115999999999</v>
      </c>
      <c r="O136" s="5">
        <f t="shared" si="8"/>
        <v>0.77740465206795428</v>
      </c>
      <c r="P136" s="5">
        <v>0.21040037419354801</v>
      </c>
      <c r="Q136" s="5">
        <v>0.284846167741935</v>
      </c>
    </row>
    <row r="137" spans="1:17" ht="15.5" x14ac:dyDescent="0.35">
      <c r="A137" s="3" t="s">
        <v>96</v>
      </c>
      <c r="B137" s="3" t="s">
        <v>104</v>
      </c>
      <c r="C137" s="5">
        <v>19</v>
      </c>
      <c r="D137" s="5">
        <v>1</v>
      </c>
      <c r="E137" s="8">
        <v>906</v>
      </c>
      <c r="F137" s="8">
        <v>8569</v>
      </c>
      <c r="G137" s="5">
        <f t="shared" si="6"/>
        <v>0.10572995682109931</v>
      </c>
      <c r="H137" s="8">
        <v>16223</v>
      </c>
      <c r="I137" s="15">
        <v>407</v>
      </c>
      <c r="J137" s="8">
        <v>82836</v>
      </c>
      <c r="K137" s="5">
        <f t="shared" si="7"/>
        <v>9.1430463576158942</v>
      </c>
      <c r="L137" s="5">
        <v>0.87322580645161296</v>
      </c>
      <c r="M137" s="5">
        <v>167.17408560000001</v>
      </c>
      <c r="N137" s="5">
        <v>46.692255600000003</v>
      </c>
      <c r="O137" s="5">
        <f t="shared" si="8"/>
        <v>0.72069680876424069</v>
      </c>
      <c r="P137" s="5">
        <v>1.50620179354839</v>
      </c>
      <c r="Q137" s="5">
        <v>0.65003179354838703</v>
      </c>
    </row>
    <row r="138" spans="1:17" ht="15.5" x14ac:dyDescent="0.35">
      <c r="A138" s="3" t="s">
        <v>96</v>
      </c>
      <c r="B138" s="3" t="s">
        <v>105</v>
      </c>
      <c r="C138" s="5">
        <v>1</v>
      </c>
      <c r="D138" s="5">
        <v>0</v>
      </c>
      <c r="E138" s="8">
        <v>97</v>
      </c>
      <c r="F138" s="8">
        <v>2004</v>
      </c>
      <c r="G138" s="5">
        <f t="shared" si="6"/>
        <v>4.8403193612774453E-2</v>
      </c>
      <c r="H138" s="8">
        <v>813</v>
      </c>
      <c r="I138" s="8">
        <v>12</v>
      </c>
      <c r="J138" s="8">
        <v>3395</v>
      </c>
      <c r="K138" s="5">
        <f t="shared" si="7"/>
        <v>3.5</v>
      </c>
      <c r="L138" s="5">
        <v>1.9079225806451601</v>
      </c>
      <c r="M138" s="5">
        <v>12.5792676</v>
      </c>
      <c r="N138" s="5">
        <v>2.3556743999999998</v>
      </c>
      <c r="O138" s="5">
        <f t="shared" si="8"/>
        <v>0.81273358076904256</v>
      </c>
      <c r="P138" s="5">
        <v>7.5989496774193505E-2</v>
      </c>
      <c r="Q138" s="5">
        <v>9.61391612903226E-2</v>
      </c>
    </row>
    <row r="139" spans="1:17" s="16" customFormat="1" ht="15.5" x14ac:dyDescent="0.35">
      <c r="A139" s="13" t="s">
        <v>96</v>
      </c>
      <c r="B139" s="13" t="s">
        <v>106</v>
      </c>
      <c r="C139" s="14">
        <v>1</v>
      </c>
      <c r="D139" s="14">
        <v>1</v>
      </c>
      <c r="E139" s="15">
        <v>8</v>
      </c>
      <c r="F139" s="15">
        <v>3253</v>
      </c>
      <c r="G139" s="14">
        <f t="shared" si="6"/>
        <v>2.4592683676606208E-3</v>
      </c>
      <c r="H139" s="15">
        <v>32.86</v>
      </c>
      <c r="I139" s="15">
        <v>3</v>
      </c>
      <c r="J139" s="15">
        <v>520</v>
      </c>
      <c r="K139" s="14">
        <f t="shared" si="7"/>
        <v>6.5</v>
      </c>
      <c r="L139" s="14">
        <v>2.2833193548387101</v>
      </c>
      <c r="M139" s="14">
        <v>1.3786848</v>
      </c>
      <c r="N139" s="14">
        <v>0.30543480000000001</v>
      </c>
      <c r="O139" s="14">
        <f t="shared" si="8"/>
        <v>0.77845929686031212</v>
      </c>
      <c r="P139" s="14">
        <v>9.8527354838709707E-3</v>
      </c>
      <c r="Q139" s="14">
        <v>1.0092077419354801E-2</v>
      </c>
    </row>
    <row r="140" spans="1:17" ht="15.5" x14ac:dyDescent="0.35">
      <c r="A140" s="3" t="s">
        <v>96</v>
      </c>
      <c r="B140" s="3" t="s">
        <v>107</v>
      </c>
      <c r="C140" s="5">
        <v>2</v>
      </c>
      <c r="D140" s="5">
        <v>1</v>
      </c>
      <c r="E140" s="8">
        <v>637</v>
      </c>
      <c r="F140" s="8">
        <v>14242</v>
      </c>
      <c r="G140" s="5">
        <f t="shared" si="6"/>
        <v>4.4726864204465665E-2</v>
      </c>
      <c r="H140" s="8">
        <v>2516</v>
      </c>
      <c r="I140" s="8">
        <v>68</v>
      </c>
      <c r="J140" s="8">
        <v>21915</v>
      </c>
      <c r="K140" s="5">
        <f t="shared" si="7"/>
        <v>3.4403453689167973</v>
      </c>
      <c r="L140" s="5">
        <v>2.3183161290322598</v>
      </c>
      <c r="M140" s="5">
        <v>59.179604400000002</v>
      </c>
      <c r="N140" s="5">
        <v>10.708038</v>
      </c>
      <c r="O140" s="5">
        <f t="shared" si="8"/>
        <v>0.81905864176408727</v>
      </c>
      <c r="P140" s="5">
        <v>0.34542058064516101</v>
      </c>
      <c r="Q140" s="5">
        <v>0.49154771612903198</v>
      </c>
    </row>
    <row r="141" spans="1:17" ht="15.5" x14ac:dyDescent="0.35">
      <c r="A141" s="3" t="s">
        <v>96</v>
      </c>
      <c r="B141" s="3" t="s">
        <v>108</v>
      </c>
      <c r="C141" s="5">
        <v>5</v>
      </c>
      <c r="D141" s="5">
        <v>0</v>
      </c>
      <c r="E141" s="8">
        <v>291</v>
      </c>
      <c r="F141" s="8">
        <v>12404</v>
      </c>
      <c r="G141" s="5">
        <f t="shared" si="6"/>
        <v>2.3460174137375039E-2</v>
      </c>
      <c r="H141" s="8">
        <v>2034</v>
      </c>
      <c r="I141" s="8">
        <v>59</v>
      </c>
      <c r="J141" s="8">
        <v>14147</v>
      </c>
      <c r="K141" s="5">
        <f t="shared" si="7"/>
        <v>4.8615120274914085</v>
      </c>
      <c r="L141" s="5">
        <v>2.26297741935484</v>
      </c>
      <c r="M141" s="5">
        <v>27.5998752</v>
      </c>
      <c r="N141" s="5">
        <v>5.4553824000000004</v>
      </c>
      <c r="O141" s="5">
        <f t="shared" si="8"/>
        <v>0.80234032362581109</v>
      </c>
      <c r="P141" s="5">
        <v>0.17598007741935501</v>
      </c>
      <c r="Q141" s="5">
        <v>0.24477259354838701</v>
      </c>
    </row>
    <row r="142" spans="1:17" ht="15.5" x14ac:dyDescent="0.35">
      <c r="A142" s="3" t="s">
        <v>96</v>
      </c>
      <c r="B142" s="3" t="s">
        <v>109</v>
      </c>
      <c r="C142" s="5">
        <v>9</v>
      </c>
      <c r="D142" s="5">
        <v>1</v>
      </c>
      <c r="E142" s="8">
        <v>590</v>
      </c>
      <c r="F142" s="8">
        <v>19728</v>
      </c>
      <c r="G142" s="5">
        <f t="shared" si="6"/>
        <v>2.9906731549067315E-2</v>
      </c>
      <c r="H142" s="8">
        <v>4813</v>
      </c>
      <c r="I142" s="8">
        <v>81</v>
      </c>
      <c r="J142" s="8">
        <v>25404</v>
      </c>
      <c r="K142" s="5">
        <f t="shared" si="7"/>
        <v>4.3057627118644071</v>
      </c>
      <c r="L142" s="5">
        <v>2.0691935483871</v>
      </c>
      <c r="M142" s="5">
        <v>41.100922799999999</v>
      </c>
      <c r="N142" s="5">
        <v>8.5261247999999998</v>
      </c>
      <c r="O142" s="5">
        <f t="shared" si="8"/>
        <v>0.79255636566875332</v>
      </c>
      <c r="P142" s="5">
        <v>0.27503628387096801</v>
      </c>
      <c r="Q142" s="5">
        <v>0.34647619354838699</v>
      </c>
    </row>
    <row r="143" spans="1:17" ht="15.5" x14ac:dyDescent="0.35">
      <c r="A143" s="3" t="s">
        <v>96</v>
      </c>
      <c r="B143" s="3" t="s">
        <v>110</v>
      </c>
      <c r="C143" s="5">
        <v>6</v>
      </c>
      <c r="D143" s="5">
        <v>1</v>
      </c>
      <c r="E143" s="8">
        <v>112</v>
      </c>
      <c r="F143" s="8">
        <v>1596</v>
      </c>
      <c r="G143" s="5">
        <f t="shared" si="6"/>
        <v>7.0175438596491224E-2</v>
      </c>
      <c r="H143" s="8">
        <v>1140</v>
      </c>
      <c r="I143" s="8">
        <v>23</v>
      </c>
      <c r="J143" s="8">
        <v>4002</v>
      </c>
      <c r="K143" s="5">
        <f t="shared" si="7"/>
        <v>3.5732142857142861</v>
      </c>
      <c r="L143" s="5">
        <v>1.55440322580645</v>
      </c>
      <c r="M143" s="5">
        <v>20.236100400000002</v>
      </c>
      <c r="N143" s="5">
        <v>3.5874252000000002</v>
      </c>
      <c r="O143" s="5">
        <f t="shared" si="8"/>
        <v>0.82272151604861576</v>
      </c>
      <c r="P143" s="5">
        <v>0.115723393548387</v>
      </c>
      <c r="Q143" s="5">
        <v>0.14508824516129001</v>
      </c>
    </row>
    <row r="144" spans="1:17" ht="15.5" x14ac:dyDescent="0.35">
      <c r="A144" s="3" t="s">
        <v>96</v>
      </c>
      <c r="B144" s="3" t="s">
        <v>111</v>
      </c>
      <c r="C144" s="5">
        <v>4</v>
      </c>
      <c r="D144" s="5">
        <v>0</v>
      </c>
      <c r="E144" s="8">
        <v>249</v>
      </c>
      <c r="F144" s="8">
        <v>9614</v>
      </c>
      <c r="G144" s="5">
        <f t="shared" si="6"/>
        <v>2.5899729561056791E-2</v>
      </c>
      <c r="H144" s="8">
        <v>1162</v>
      </c>
      <c r="I144" s="8">
        <v>39</v>
      </c>
      <c r="J144" s="8">
        <v>7718</v>
      </c>
      <c r="K144" s="5">
        <f t="shared" si="7"/>
        <v>3.099598393574297</v>
      </c>
      <c r="L144" s="5">
        <v>1.9529838709677401</v>
      </c>
      <c r="M144" s="5">
        <v>20.643498000000001</v>
      </c>
      <c r="N144" s="5">
        <v>3.3788664000000002</v>
      </c>
      <c r="O144" s="5">
        <f t="shared" si="8"/>
        <v>0.8363229720079417</v>
      </c>
      <c r="P144" s="5">
        <v>0.108995690322581</v>
      </c>
      <c r="Q144" s="5">
        <v>0.17717574193548399</v>
      </c>
    </row>
    <row r="145" spans="1:17" ht="15.5" x14ac:dyDescent="0.35">
      <c r="A145" s="3" t="s">
        <v>96</v>
      </c>
      <c r="B145" s="3" t="s">
        <v>112</v>
      </c>
      <c r="C145" s="5">
        <v>11</v>
      </c>
      <c r="D145" s="5">
        <v>0</v>
      </c>
      <c r="E145" s="8">
        <v>738</v>
      </c>
      <c r="F145" s="8">
        <v>17457</v>
      </c>
      <c r="G145" s="5">
        <f t="shared" si="6"/>
        <v>4.2275305035229423E-2</v>
      </c>
      <c r="H145" s="8">
        <v>2323</v>
      </c>
      <c r="I145" s="8">
        <v>67</v>
      </c>
      <c r="J145" s="8">
        <v>22489</v>
      </c>
      <c r="K145" s="5">
        <f t="shared" si="7"/>
        <v>3.0472899728997289</v>
      </c>
      <c r="L145" s="5">
        <v>2.4671483870967701</v>
      </c>
      <c r="M145" s="5">
        <v>62.463668400000003</v>
      </c>
      <c r="N145" s="5">
        <v>9.4751531999999994</v>
      </c>
      <c r="O145" s="5">
        <f t="shared" si="8"/>
        <v>0.84830937018742247</v>
      </c>
      <c r="P145" s="5">
        <v>0.30565010322580599</v>
      </c>
      <c r="Q145" s="5">
        <v>0.56337956129032296</v>
      </c>
    </row>
    <row r="146" spans="1:17" ht="15.5" x14ac:dyDescent="0.35">
      <c r="A146" s="3" t="s">
        <v>96</v>
      </c>
      <c r="B146" s="3" t="s">
        <v>113</v>
      </c>
      <c r="C146" s="5">
        <v>8</v>
      </c>
      <c r="D146" s="5">
        <v>0</v>
      </c>
      <c r="E146" s="8">
        <v>273</v>
      </c>
      <c r="F146" s="8">
        <v>4583</v>
      </c>
      <c r="G146" s="5">
        <f t="shared" si="6"/>
        <v>5.9567968579533059E-2</v>
      </c>
      <c r="H146" s="8">
        <v>1767</v>
      </c>
      <c r="I146" s="8">
        <v>51</v>
      </c>
      <c r="J146" s="8">
        <v>13405</v>
      </c>
      <c r="K146" s="5">
        <f t="shared" si="7"/>
        <v>4.9102564102564106</v>
      </c>
      <c r="L146" s="5">
        <v>2.03625161290323</v>
      </c>
      <c r="M146" s="5">
        <v>28.950274799999999</v>
      </c>
      <c r="N146" s="5">
        <v>5.5746792000000003</v>
      </c>
      <c r="O146" s="5">
        <f t="shared" si="8"/>
        <v>0.80743950658457997</v>
      </c>
      <c r="P146" s="5">
        <v>0.17982836129032301</v>
      </c>
      <c r="Q146" s="5">
        <v>0.21105150967741901</v>
      </c>
    </row>
    <row r="147" spans="1:17" ht="15.5" x14ac:dyDescent="0.35">
      <c r="A147" s="3" t="s">
        <v>346</v>
      </c>
      <c r="B147" s="3" t="s">
        <v>259</v>
      </c>
      <c r="C147" s="5">
        <v>7</v>
      </c>
      <c r="D147" s="5">
        <v>0</v>
      </c>
      <c r="E147" s="8">
        <v>455</v>
      </c>
      <c r="F147" s="8">
        <v>8109</v>
      </c>
      <c r="G147" s="5">
        <f t="shared" si="6"/>
        <v>5.611049451227032E-2</v>
      </c>
      <c r="H147" s="8">
        <v>1641</v>
      </c>
      <c r="I147" s="8">
        <v>114</v>
      </c>
      <c r="J147" s="8">
        <v>20707</v>
      </c>
      <c r="K147" s="5">
        <f t="shared" si="7"/>
        <v>4.550989010989011</v>
      </c>
      <c r="L147" s="5">
        <v>3.5017290322580599</v>
      </c>
      <c r="M147" s="5">
        <v>41.409694799999997</v>
      </c>
      <c r="N147" s="5">
        <v>19.151380799999998</v>
      </c>
      <c r="O147" s="5">
        <f t="shared" si="8"/>
        <v>0.53751456289409794</v>
      </c>
      <c r="P147" s="5">
        <v>0.617786477419355</v>
      </c>
      <c r="Q147" s="5">
        <v>0.55924072258064506</v>
      </c>
    </row>
    <row r="148" spans="1:17" ht="15.5" x14ac:dyDescent="0.35">
      <c r="A148" s="3" t="s">
        <v>346</v>
      </c>
      <c r="B148" s="3" t="s">
        <v>260</v>
      </c>
      <c r="C148" s="5">
        <v>6</v>
      </c>
      <c r="D148" s="5">
        <v>1</v>
      </c>
      <c r="E148" s="8">
        <v>570</v>
      </c>
      <c r="F148" s="8">
        <v>15074</v>
      </c>
      <c r="G148" s="5">
        <f t="shared" si="6"/>
        <v>3.7813453628764759E-2</v>
      </c>
      <c r="H148" s="8">
        <v>3780</v>
      </c>
      <c r="I148" s="8">
        <v>114</v>
      </c>
      <c r="J148" s="8">
        <v>23796</v>
      </c>
      <c r="K148" s="5">
        <f t="shared" si="7"/>
        <v>4.1747368421052631</v>
      </c>
      <c r="L148" s="5">
        <v>2.89463548387097</v>
      </c>
      <c r="M148" s="5">
        <v>54.123195600000003</v>
      </c>
      <c r="N148" s="5">
        <v>21.242412000000002</v>
      </c>
      <c r="O148" s="5">
        <f t="shared" si="8"/>
        <v>0.60751740978132485</v>
      </c>
      <c r="P148" s="5">
        <v>0.68523909677419403</v>
      </c>
      <c r="Q148" s="5">
        <v>0.67813722580645197</v>
      </c>
    </row>
    <row r="149" spans="1:17" ht="15.5" x14ac:dyDescent="0.35">
      <c r="A149" s="3" t="s">
        <v>346</v>
      </c>
      <c r="B149" s="3" t="s">
        <v>261</v>
      </c>
      <c r="C149" s="5">
        <v>8</v>
      </c>
      <c r="D149" s="5">
        <v>1</v>
      </c>
      <c r="E149" s="8">
        <v>604</v>
      </c>
      <c r="F149" s="8">
        <v>18177</v>
      </c>
      <c r="G149" s="5">
        <f t="shared" si="6"/>
        <v>3.3228805633492876E-2</v>
      </c>
      <c r="H149" s="8">
        <v>3624</v>
      </c>
      <c r="I149" s="8">
        <v>111</v>
      </c>
      <c r="J149" s="8">
        <v>25350</v>
      </c>
      <c r="K149" s="5">
        <f t="shared" si="7"/>
        <v>4.1970198675496686</v>
      </c>
      <c r="L149" s="5">
        <v>3.4346290322580599</v>
      </c>
      <c r="M149" s="5">
        <v>48.999783600000001</v>
      </c>
      <c r="N149" s="5">
        <v>22.433759999999999</v>
      </c>
      <c r="O149" s="5">
        <f t="shared" si="8"/>
        <v>0.54216614132148944</v>
      </c>
      <c r="P149" s="5">
        <v>0.72366967741935495</v>
      </c>
      <c r="Q149" s="5">
        <v>0.64219830967741898</v>
      </c>
    </row>
    <row r="150" spans="1:17" ht="15.5" x14ac:dyDescent="0.35">
      <c r="A150" s="3" t="s">
        <v>346</v>
      </c>
      <c r="B150" s="3" t="s">
        <v>262</v>
      </c>
      <c r="C150" s="5">
        <v>4</v>
      </c>
      <c r="D150" s="5">
        <v>1</v>
      </c>
      <c r="E150" s="8">
        <v>169</v>
      </c>
      <c r="F150" s="8">
        <v>9534</v>
      </c>
      <c r="G150" s="5">
        <f t="shared" si="6"/>
        <v>1.7726033144535348E-2</v>
      </c>
      <c r="H150" s="8">
        <v>552</v>
      </c>
      <c r="I150" s="8">
        <v>30</v>
      </c>
      <c r="J150" s="8">
        <v>6693</v>
      </c>
      <c r="K150" s="5">
        <f t="shared" si="7"/>
        <v>3.9603550295857985</v>
      </c>
      <c r="L150" s="5">
        <v>3.9622129032258102</v>
      </c>
      <c r="M150" s="5">
        <v>18.3285828</v>
      </c>
      <c r="N150" s="5">
        <v>6.8503968000000004</v>
      </c>
      <c r="O150" s="5">
        <f t="shared" si="8"/>
        <v>0.62624514536934073</v>
      </c>
      <c r="P150" s="5">
        <v>0.220980541935484</v>
      </c>
      <c r="Q150" s="5">
        <v>0.19350743225806499</v>
      </c>
    </row>
    <row r="151" spans="1:17" ht="15.5" x14ac:dyDescent="0.35">
      <c r="A151" s="3" t="s">
        <v>346</v>
      </c>
      <c r="B151" s="3" t="s">
        <v>263</v>
      </c>
      <c r="C151" s="5">
        <v>16</v>
      </c>
      <c r="D151" s="5">
        <v>1</v>
      </c>
      <c r="E151" s="8">
        <v>524</v>
      </c>
      <c r="F151" s="8">
        <v>27572</v>
      </c>
      <c r="G151" s="5">
        <f t="shared" si="6"/>
        <v>1.9004787465544754E-2</v>
      </c>
      <c r="H151" s="8">
        <v>1617</v>
      </c>
      <c r="I151" s="8">
        <v>105</v>
      </c>
      <c r="J151" s="8">
        <v>27411</v>
      </c>
      <c r="K151" s="5">
        <f t="shared" si="7"/>
        <v>5.2311068702290076</v>
      </c>
      <c r="L151" s="5">
        <v>3.4747774193548402</v>
      </c>
      <c r="M151" s="5">
        <v>39.5309484</v>
      </c>
      <c r="N151" s="5">
        <v>15.489305999999999</v>
      </c>
      <c r="O151" s="5">
        <f t="shared" si="8"/>
        <v>0.60817266908779755</v>
      </c>
      <c r="P151" s="5">
        <v>0.49965503225806501</v>
      </c>
      <c r="Q151" s="5">
        <v>0.48214962580645199</v>
      </c>
    </row>
    <row r="152" spans="1:17" ht="15.5" x14ac:dyDescent="0.35">
      <c r="A152" s="3" t="s">
        <v>346</v>
      </c>
      <c r="B152" s="3" t="s">
        <v>264</v>
      </c>
      <c r="C152" s="5">
        <v>11</v>
      </c>
      <c r="D152" s="5">
        <v>0</v>
      </c>
      <c r="E152" s="8">
        <v>402</v>
      </c>
      <c r="F152" s="8">
        <v>11248</v>
      </c>
      <c r="G152" s="5">
        <f t="shared" si="6"/>
        <v>3.5739687055476532E-2</v>
      </c>
      <c r="H152" s="8">
        <v>3003</v>
      </c>
      <c r="I152" s="8">
        <v>109</v>
      </c>
      <c r="J152" s="8">
        <v>21611</v>
      </c>
      <c r="K152" s="5">
        <f t="shared" si="7"/>
        <v>5.3758706467661685</v>
      </c>
      <c r="L152" s="5">
        <v>2.8121483870967698</v>
      </c>
      <c r="M152" s="5">
        <v>46.135623600000002</v>
      </c>
      <c r="N152" s="5">
        <v>20.078053199999999</v>
      </c>
      <c r="O152" s="5">
        <f t="shared" si="8"/>
        <v>0.56480368892206756</v>
      </c>
      <c r="P152" s="5">
        <v>0.64767913548387102</v>
      </c>
      <c r="Q152" s="5">
        <v>0.61996459354838696</v>
      </c>
    </row>
    <row r="153" spans="1:17" ht="15.5" x14ac:dyDescent="0.35">
      <c r="A153" s="3" t="s">
        <v>346</v>
      </c>
      <c r="B153" s="3" t="s">
        <v>265</v>
      </c>
      <c r="C153" s="5">
        <v>9</v>
      </c>
      <c r="D153" s="5">
        <v>1</v>
      </c>
      <c r="E153" s="8">
        <v>644</v>
      </c>
      <c r="F153" s="8">
        <v>22260</v>
      </c>
      <c r="G153" s="5">
        <f t="shared" si="6"/>
        <v>2.8930817610062894E-2</v>
      </c>
      <c r="H153" s="8">
        <v>2017</v>
      </c>
      <c r="I153" s="8">
        <v>142</v>
      </c>
      <c r="J153" s="8">
        <v>29221</v>
      </c>
      <c r="K153" s="5">
        <f t="shared" si="7"/>
        <v>4.5374223602484474</v>
      </c>
      <c r="L153" s="5">
        <v>4.1388032258064502</v>
      </c>
      <c r="M153" s="5">
        <v>47.421612000000003</v>
      </c>
      <c r="N153" s="5">
        <v>22.669567199999999</v>
      </c>
      <c r="O153" s="5">
        <f t="shared" si="8"/>
        <v>0.52195705198718256</v>
      </c>
      <c r="P153" s="5">
        <v>0.73127636129032303</v>
      </c>
      <c r="Q153" s="5">
        <v>0.60640571612903205</v>
      </c>
    </row>
    <row r="154" spans="1:17" ht="15.5" x14ac:dyDescent="0.35">
      <c r="A154" s="3" t="s">
        <v>346</v>
      </c>
      <c r="B154" s="3" t="s">
        <v>266</v>
      </c>
      <c r="C154" s="5">
        <v>7</v>
      </c>
      <c r="D154" s="5">
        <v>0</v>
      </c>
      <c r="E154" s="8">
        <v>289</v>
      </c>
      <c r="F154" s="8">
        <v>5006</v>
      </c>
      <c r="G154" s="5">
        <f t="shared" si="6"/>
        <v>5.7730723132241313E-2</v>
      </c>
      <c r="H154" s="8">
        <v>2258</v>
      </c>
      <c r="I154" s="8">
        <v>74</v>
      </c>
      <c r="J154" s="8">
        <v>16465</v>
      </c>
      <c r="K154" s="5">
        <f t="shared" si="7"/>
        <v>5.6972318339100347</v>
      </c>
      <c r="L154" s="5">
        <v>3.2721967741935498</v>
      </c>
      <c r="M154" s="5">
        <v>39.680992799999999</v>
      </c>
      <c r="N154" s="5">
        <v>17.793237600000001</v>
      </c>
      <c r="O154" s="5">
        <f t="shared" si="8"/>
        <v>0.55159293292681921</v>
      </c>
      <c r="P154" s="5">
        <v>0.57397540645161305</v>
      </c>
      <c r="Q154" s="5">
        <v>0.59857745806451601</v>
      </c>
    </row>
    <row r="155" spans="1:17" ht="15.5" x14ac:dyDescent="0.35">
      <c r="A155" s="3" t="s">
        <v>346</v>
      </c>
      <c r="B155" s="3" t="s">
        <v>20</v>
      </c>
      <c r="C155" s="5">
        <v>6</v>
      </c>
      <c r="D155" s="5">
        <v>1</v>
      </c>
      <c r="E155" s="8">
        <v>295</v>
      </c>
      <c r="F155" s="8">
        <v>15473</v>
      </c>
      <c r="G155" s="5">
        <f t="shared" si="6"/>
        <v>1.9065468881277064E-2</v>
      </c>
      <c r="H155" s="8">
        <v>706</v>
      </c>
      <c r="I155" s="8">
        <v>70</v>
      </c>
      <c r="J155" s="8">
        <v>14985</v>
      </c>
      <c r="K155" s="5">
        <f t="shared" si="7"/>
        <v>5.0796610169491521</v>
      </c>
      <c r="L155" s="5">
        <v>4.1351838709677402</v>
      </c>
      <c r="M155" s="5">
        <v>26.135913599999999</v>
      </c>
      <c r="N155" s="5">
        <v>9.0066492</v>
      </c>
      <c r="O155" s="5">
        <f t="shared" si="8"/>
        <v>0.65539183600606943</v>
      </c>
      <c r="P155" s="5">
        <v>0.29053707096774201</v>
      </c>
      <c r="Q155" s="5">
        <v>0.29848970322580598</v>
      </c>
    </row>
    <row r="156" spans="1:17" ht="15.5" x14ac:dyDescent="0.35">
      <c r="A156" s="3" t="s">
        <v>346</v>
      </c>
      <c r="B156" s="3" t="s">
        <v>267</v>
      </c>
      <c r="C156" s="5">
        <v>3</v>
      </c>
      <c r="D156" s="5">
        <v>0</v>
      </c>
      <c r="E156" s="8">
        <v>473</v>
      </c>
      <c r="F156" s="8">
        <v>12320</v>
      </c>
      <c r="G156" s="5">
        <f t="shared" si="6"/>
        <v>3.8392857142857145E-2</v>
      </c>
      <c r="H156" s="8">
        <v>1792</v>
      </c>
      <c r="I156" s="8">
        <v>94</v>
      </c>
      <c r="J156" s="8">
        <v>19422</v>
      </c>
      <c r="K156" s="5">
        <f t="shared" si="7"/>
        <v>4.1061310782241014</v>
      </c>
      <c r="L156" s="5">
        <v>3.6205290322580601</v>
      </c>
      <c r="M156" s="5">
        <v>48.559176000000001</v>
      </c>
      <c r="N156" s="5">
        <v>22.462077600000001</v>
      </c>
      <c r="O156" s="5">
        <f t="shared" si="8"/>
        <v>0.53742877350307583</v>
      </c>
      <c r="P156" s="5">
        <v>0.72458314838709703</v>
      </c>
      <c r="Q156" s="5">
        <v>0.70627923870967702</v>
      </c>
    </row>
    <row r="157" spans="1:17" ht="15.5" x14ac:dyDescent="0.35">
      <c r="A157" s="3" t="s">
        <v>346</v>
      </c>
      <c r="B157" s="3" t="s">
        <v>268</v>
      </c>
      <c r="C157" s="5">
        <v>8</v>
      </c>
      <c r="D157" s="5">
        <v>1</v>
      </c>
      <c r="E157" s="8">
        <v>797</v>
      </c>
      <c r="F157" s="8">
        <v>15299</v>
      </c>
      <c r="G157" s="5">
        <f t="shared" si="6"/>
        <v>5.209490816393228E-2</v>
      </c>
      <c r="H157" s="8">
        <v>3373</v>
      </c>
      <c r="I157" s="8">
        <v>176</v>
      </c>
      <c r="J157" s="8">
        <v>33966</v>
      </c>
      <c r="K157" s="5">
        <f t="shared" si="7"/>
        <v>4.2617314930991217</v>
      </c>
      <c r="L157" s="5">
        <v>4.17875483870968</v>
      </c>
      <c r="M157" s="5">
        <v>65.261538000000002</v>
      </c>
      <c r="N157" s="5">
        <v>30.7618236</v>
      </c>
      <c r="O157" s="5">
        <f t="shared" si="8"/>
        <v>0.52863777743025309</v>
      </c>
      <c r="P157" s="5">
        <v>0.99231689032258097</v>
      </c>
      <c r="Q157" s="5">
        <v>0.877000064516129</v>
      </c>
    </row>
    <row r="158" spans="1:17" ht="15.5" x14ac:dyDescent="0.35">
      <c r="A158" s="3" t="s">
        <v>346</v>
      </c>
      <c r="B158" s="3" t="s">
        <v>269</v>
      </c>
      <c r="C158" s="5">
        <v>7</v>
      </c>
      <c r="D158" s="5">
        <v>1</v>
      </c>
      <c r="E158" s="8">
        <v>826</v>
      </c>
      <c r="F158" s="8">
        <v>20830</v>
      </c>
      <c r="G158" s="5">
        <f t="shared" si="6"/>
        <v>3.9654344695151222E-2</v>
      </c>
      <c r="H158" s="8">
        <v>2152</v>
      </c>
      <c r="I158" s="8">
        <v>136</v>
      </c>
      <c r="J158" s="8">
        <v>33272</v>
      </c>
      <c r="K158" s="5">
        <f t="shared" si="7"/>
        <v>4.0280871670702174</v>
      </c>
      <c r="L158" s="5">
        <v>4.1162903225806504</v>
      </c>
      <c r="M158" s="5">
        <v>60.846649200000002</v>
      </c>
      <c r="N158" s="5">
        <v>29.50506</v>
      </c>
      <c r="O158" s="5">
        <f t="shared" si="8"/>
        <v>0.51509145716441518</v>
      </c>
      <c r="P158" s="5">
        <v>0.95177612903225794</v>
      </c>
      <c r="Q158" s="5">
        <v>0.78289269677419404</v>
      </c>
    </row>
    <row r="159" spans="1:17" ht="15.5" x14ac:dyDescent="0.35">
      <c r="A159" s="3" t="s">
        <v>346</v>
      </c>
      <c r="B159" s="3" t="s">
        <v>270</v>
      </c>
      <c r="C159" s="5">
        <v>3</v>
      </c>
      <c r="D159" s="5">
        <v>1</v>
      </c>
      <c r="E159" s="8">
        <v>534</v>
      </c>
      <c r="F159" s="8">
        <v>19342</v>
      </c>
      <c r="G159" s="5">
        <f t="shared" si="6"/>
        <v>2.7608313514631371E-2</v>
      </c>
      <c r="H159" s="8">
        <v>2411</v>
      </c>
      <c r="I159" s="8">
        <v>114</v>
      </c>
      <c r="J159" s="8">
        <v>27237</v>
      </c>
      <c r="K159" s="5">
        <f t="shared" si="7"/>
        <v>5.1005617977528095</v>
      </c>
      <c r="L159" s="5">
        <v>3.4080516129032299</v>
      </c>
      <c r="M159" s="5">
        <v>38.867396399999997</v>
      </c>
      <c r="N159" s="5">
        <v>16.632475199999998</v>
      </c>
      <c r="O159" s="5">
        <f t="shared" si="8"/>
        <v>0.57207127977319316</v>
      </c>
      <c r="P159" s="5">
        <v>0.53653145806451596</v>
      </c>
      <c r="Q159" s="5">
        <v>0.492519716129032</v>
      </c>
    </row>
    <row r="160" spans="1:17" ht="15.5" x14ac:dyDescent="0.35">
      <c r="A160" s="3" t="s">
        <v>346</v>
      </c>
      <c r="B160" s="3" t="s">
        <v>271</v>
      </c>
      <c r="C160" s="5">
        <v>18</v>
      </c>
      <c r="D160" s="5">
        <v>1</v>
      </c>
      <c r="E160" s="8">
        <v>738</v>
      </c>
      <c r="F160" s="8">
        <v>11816</v>
      </c>
      <c r="G160" s="5">
        <f t="shared" si="6"/>
        <v>6.2457684495599186E-2</v>
      </c>
      <c r="H160" s="8">
        <v>11574</v>
      </c>
      <c r="I160" s="8">
        <v>237</v>
      </c>
      <c r="J160" s="8">
        <v>64993</v>
      </c>
      <c r="K160" s="5">
        <f t="shared" si="7"/>
        <v>8.8066395663956651</v>
      </c>
      <c r="L160" s="5">
        <v>1.9766870967741901</v>
      </c>
      <c r="M160" s="5">
        <v>156.35235599999999</v>
      </c>
      <c r="N160" s="5">
        <v>72.350657999999996</v>
      </c>
      <c r="O160" s="5">
        <f t="shared" si="8"/>
        <v>0.53725892048598234</v>
      </c>
      <c r="P160" s="5">
        <v>2.3338921935483898</v>
      </c>
      <c r="Q160" s="5">
        <v>2.2309991999999998</v>
      </c>
    </row>
    <row r="161" spans="1:17" ht="15.5" x14ac:dyDescent="0.35">
      <c r="A161" s="3" t="s">
        <v>114</v>
      </c>
      <c r="B161" s="3" t="s">
        <v>115</v>
      </c>
      <c r="C161" s="5">
        <v>15</v>
      </c>
      <c r="D161" s="5">
        <v>0</v>
      </c>
      <c r="E161" s="8">
        <v>412</v>
      </c>
      <c r="F161" s="8">
        <v>27711</v>
      </c>
      <c r="G161" s="5">
        <f t="shared" si="6"/>
        <v>1.486774205189275E-2</v>
      </c>
      <c r="H161" s="8">
        <v>1417</v>
      </c>
      <c r="I161" s="8">
        <v>170</v>
      </c>
      <c r="J161" s="8">
        <v>26730</v>
      </c>
      <c r="K161" s="5">
        <f t="shared" si="7"/>
        <v>6.4878640776699026</v>
      </c>
      <c r="L161" s="5">
        <v>3.20237741935484</v>
      </c>
      <c r="M161" s="5">
        <v>27.153532800000001</v>
      </c>
      <c r="N161" s="5">
        <v>12.1885236</v>
      </c>
      <c r="O161" s="5">
        <f t="shared" si="8"/>
        <v>0.55112567893927977</v>
      </c>
      <c r="P161" s="5">
        <v>0.39317818064516102</v>
      </c>
      <c r="Q161" s="5">
        <v>0.39634083870967701</v>
      </c>
    </row>
    <row r="162" spans="1:17" s="12" customFormat="1" ht="15.5" x14ac:dyDescent="0.35">
      <c r="A162" s="3" t="s">
        <v>114</v>
      </c>
      <c r="B162" s="3" t="s">
        <v>116</v>
      </c>
      <c r="C162" s="5">
        <v>7</v>
      </c>
      <c r="D162" s="5">
        <v>0</v>
      </c>
      <c r="E162" s="8">
        <v>318</v>
      </c>
      <c r="F162" s="8">
        <v>14382</v>
      </c>
      <c r="G162" s="5">
        <f t="shared" si="6"/>
        <v>2.2110972048393827E-2</v>
      </c>
      <c r="H162" s="8">
        <v>796</v>
      </c>
      <c r="I162" s="8">
        <v>79</v>
      </c>
      <c r="J162" s="8">
        <v>15749</v>
      </c>
      <c r="K162" s="5">
        <f t="shared" si="7"/>
        <v>4.95251572327044</v>
      </c>
      <c r="L162" s="5">
        <v>2.8824838709677398</v>
      </c>
      <c r="M162" s="5">
        <v>30.218410800000001</v>
      </c>
      <c r="N162" s="5">
        <v>13.7000484</v>
      </c>
      <c r="O162" s="5">
        <f t="shared" si="8"/>
        <v>0.54663239934510388</v>
      </c>
      <c r="P162" s="5">
        <v>0.44193704516129001</v>
      </c>
      <c r="Q162" s="5">
        <v>0.45104876129032301</v>
      </c>
    </row>
    <row r="163" spans="1:17" s="12" customFormat="1" ht="15.5" x14ac:dyDescent="0.35">
      <c r="A163" s="13" t="s">
        <v>114</v>
      </c>
      <c r="B163" s="13" t="s">
        <v>117</v>
      </c>
      <c r="C163" s="14">
        <v>26</v>
      </c>
      <c r="D163" s="14">
        <v>1</v>
      </c>
      <c r="E163" s="15">
        <v>207</v>
      </c>
      <c r="F163" s="15">
        <f>4.27*10000</f>
        <v>42699.999999999993</v>
      </c>
      <c r="G163" s="14">
        <f t="shared" si="6"/>
        <v>4.8477751756440292E-3</v>
      </c>
      <c r="H163" s="15">
        <v>723</v>
      </c>
      <c r="I163" s="15">
        <v>79</v>
      </c>
      <c r="J163" s="15">
        <v>9507</v>
      </c>
      <c r="K163" s="14">
        <f t="shared" si="7"/>
        <v>4.5927536231884059</v>
      </c>
      <c r="L163" s="14">
        <v>2.7681870967741902</v>
      </c>
      <c r="M163" s="14">
        <v>9.6724367999999998</v>
      </c>
      <c r="N163" s="14">
        <v>4.0274172000000004</v>
      </c>
      <c r="O163" s="14">
        <f t="shared" si="8"/>
        <v>0.58361917650369133</v>
      </c>
      <c r="P163" s="14">
        <v>0.129916683870968</v>
      </c>
      <c r="Q163" s="14">
        <v>0.12694842580645199</v>
      </c>
    </row>
    <row r="164" spans="1:17" s="12" customFormat="1" ht="15.5" x14ac:dyDescent="0.35">
      <c r="A164" s="3" t="s">
        <v>114</v>
      </c>
      <c r="B164" s="3" t="s">
        <v>118</v>
      </c>
      <c r="C164" s="5">
        <v>15</v>
      </c>
      <c r="D164" s="5">
        <v>1</v>
      </c>
      <c r="E164" s="8">
        <v>275</v>
      </c>
      <c r="F164" s="8">
        <v>21170</v>
      </c>
      <c r="G164" s="5">
        <f t="shared" si="6"/>
        <v>1.2990080302314596E-2</v>
      </c>
      <c r="H164" s="8">
        <v>730</v>
      </c>
      <c r="I164" s="8">
        <v>81</v>
      </c>
      <c r="J164" s="8">
        <v>10457</v>
      </c>
      <c r="K164" s="5">
        <f t="shared" si="7"/>
        <v>3.8025454545454549</v>
      </c>
      <c r="L164" s="5">
        <v>3.5315806451612901</v>
      </c>
      <c r="M164" s="5">
        <v>22.104673200000001</v>
      </c>
      <c r="N164" s="5">
        <v>9.9501048000000001</v>
      </c>
      <c r="O164" s="5">
        <f t="shared" si="8"/>
        <v>0.54986419794706576</v>
      </c>
      <c r="P164" s="5">
        <v>0.32097112258064497</v>
      </c>
      <c r="Q164" s="5">
        <v>0.32012767741935499</v>
      </c>
    </row>
    <row r="165" spans="1:17" s="12" customFormat="1" ht="15.5" x14ac:dyDescent="0.35">
      <c r="A165" s="3" t="s">
        <v>114</v>
      </c>
      <c r="B165" s="3" t="s">
        <v>119</v>
      </c>
      <c r="C165" s="5">
        <v>14</v>
      </c>
      <c r="D165" s="5">
        <v>1</v>
      </c>
      <c r="E165" s="8">
        <v>189</v>
      </c>
      <c r="F165" s="8">
        <v>25759</v>
      </c>
      <c r="G165" s="5">
        <f t="shared" si="6"/>
        <v>7.3372413525369775E-3</v>
      </c>
      <c r="H165" s="8">
        <v>492</v>
      </c>
      <c r="I165" s="8">
        <v>48</v>
      </c>
      <c r="J165" s="8">
        <v>7050</v>
      </c>
      <c r="K165" s="5">
        <f t="shared" si="7"/>
        <v>3.7301587301587302</v>
      </c>
      <c r="L165" s="5">
        <v>3.2134774193548399</v>
      </c>
      <c r="M165" s="5">
        <v>13.28886</v>
      </c>
      <c r="N165" s="5">
        <v>5.5019087999999998</v>
      </c>
      <c r="O165" s="5">
        <f t="shared" si="8"/>
        <v>0.5859758624893332</v>
      </c>
      <c r="P165" s="5">
        <v>0.17748092903225801</v>
      </c>
      <c r="Q165" s="5">
        <v>0.16922415483871001</v>
      </c>
    </row>
    <row r="166" spans="1:17" s="12" customFormat="1" ht="15.5" x14ac:dyDescent="0.35">
      <c r="A166" s="3" t="s">
        <v>114</v>
      </c>
      <c r="B166" s="3" t="s">
        <v>120</v>
      </c>
      <c r="C166" s="5">
        <v>6</v>
      </c>
      <c r="D166" s="5">
        <v>0</v>
      </c>
      <c r="E166" s="8">
        <v>117</v>
      </c>
      <c r="F166" s="8">
        <v>5140</v>
      </c>
      <c r="G166" s="5">
        <f t="shared" si="6"/>
        <v>2.2762645914396886E-2</v>
      </c>
      <c r="H166" s="8">
        <v>410</v>
      </c>
      <c r="I166" s="8">
        <v>41</v>
      </c>
      <c r="J166" s="8">
        <v>6065</v>
      </c>
      <c r="K166" s="5">
        <f t="shared" si="7"/>
        <v>5.1837606837606831</v>
      </c>
      <c r="L166" s="5">
        <v>3.1480806451612899</v>
      </c>
      <c r="M166" s="5">
        <v>8.8761095999999995</v>
      </c>
      <c r="N166" s="5">
        <v>4.1394564000000003</v>
      </c>
      <c r="O166" s="5">
        <f t="shared" si="8"/>
        <v>0.53364068420245725</v>
      </c>
      <c r="P166" s="5">
        <v>0.13353085161290301</v>
      </c>
      <c r="Q166" s="5">
        <v>0.13129629677419399</v>
      </c>
    </row>
    <row r="167" spans="1:17" ht="15.5" x14ac:dyDescent="0.35">
      <c r="A167" s="3" t="s">
        <v>114</v>
      </c>
      <c r="B167" s="3" t="s">
        <v>121</v>
      </c>
      <c r="C167" s="5">
        <v>17</v>
      </c>
      <c r="D167" s="5">
        <v>1</v>
      </c>
      <c r="E167" s="8">
        <v>215</v>
      </c>
      <c r="F167" s="8">
        <v>15612</v>
      </c>
      <c r="G167" s="5">
        <f t="shared" si="6"/>
        <v>1.3771457852933641E-2</v>
      </c>
      <c r="H167" s="8">
        <v>726</v>
      </c>
      <c r="I167" s="8">
        <v>71</v>
      </c>
      <c r="J167" s="8">
        <v>10869</v>
      </c>
      <c r="K167" s="5">
        <f t="shared" si="7"/>
        <v>5.0553488372093023</v>
      </c>
      <c r="L167" s="5">
        <v>2.7594935483871001</v>
      </c>
      <c r="M167" s="5">
        <v>13.4936604</v>
      </c>
      <c r="N167" s="5">
        <v>5.9811696000000003</v>
      </c>
      <c r="O167" s="5">
        <f t="shared" si="8"/>
        <v>0.55674224615879608</v>
      </c>
      <c r="P167" s="5">
        <v>0.19294095483870999</v>
      </c>
      <c r="Q167" s="5">
        <v>0.188325522580645</v>
      </c>
    </row>
    <row r="168" spans="1:17" s="16" customFormat="1" ht="15.5" x14ac:dyDescent="0.35">
      <c r="A168" s="3" t="s">
        <v>114</v>
      </c>
      <c r="B168" s="3" t="s">
        <v>122</v>
      </c>
      <c r="C168" s="5">
        <v>30</v>
      </c>
      <c r="D168" s="5">
        <v>1</v>
      </c>
      <c r="E168" s="8">
        <v>754</v>
      </c>
      <c r="F168" s="8">
        <v>20594</v>
      </c>
      <c r="G168" s="5">
        <f t="shared" si="6"/>
        <v>3.6612605613285422E-2</v>
      </c>
      <c r="H168" s="8">
        <v>5904</v>
      </c>
      <c r="I168" s="8">
        <v>188</v>
      </c>
      <c r="J168" s="8">
        <v>51259</v>
      </c>
      <c r="K168" s="5">
        <f t="shared" si="7"/>
        <v>6.7982758620689649</v>
      </c>
      <c r="L168" s="5">
        <v>2.7244387096774201</v>
      </c>
      <c r="M168" s="5">
        <v>72.252680400000003</v>
      </c>
      <c r="N168" s="5">
        <v>33.561442800000002</v>
      </c>
      <c r="O168" s="5">
        <f t="shared" si="8"/>
        <v>0.53549899305880977</v>
      </c>
      <c r="P168" s="5">
        <v>1.0826271870967701</v>
      </c>
      <c r="Q168" s="5">
        <v>1.1011976129032299</v>
      </c>
    </row>
    <row r="169" spans="1:17" ht="15.5" x14ac:dyDescent="0.35">
      <c r="A169" s="3" t="s">
        <v>39</v>
      </c>
      <c r="B169" s="3" t="s">
        <v>40</v>
      </c>
      <c r="C169" s="5">
        <v>7</v>
      </c>
      <c r="D169" s="5">
        <v>1</v>
      </c>
      <c r="E169" s="8">
        <v>385</v>
      </c>
      <c r="F169" s="8">
        <v>4372</v>
      </c>
      <c r="G169" s="5">
        <f t="shared" si="6"/>
        <v>8.8060384263494967E-2</v>
      </c>
      <c r="H169" s="8">
        <v>7401</v>
      </c>
      <c r="I169" s="8">
        <v>88</v>
      </c>
      <c r="J169" s="8">
        <v>23036</v>
      </c>
      <c r="K169" s="5">
        <f t="shared" si="7"/>
        <v>5.983376623376623</v>
      </c>
      <c r="L169" s="5">
        <v>2.0997354838709699</v>
      </c>
      <c r="M169" s="5">
        <v>73.938744</v>
      </c>
      <c r="N169" s="5">
        <v>26.175538800000002</v>
      </c>
      <c r="O169" s="5">
        <f t="shared" si="8"/>
        <v>0.64598345354635722</v>
      </c>
      <c r="P169" s="5">
        <v>0.84437221935483897</v>
      </c>
      <c r="Q169" s="5">
        <v>0.74740738064516099</v>
      </c>
    </row>
    <row r="170" spans="1:17" ht="15.5" x14ac:dyDescent="0.35">
      <c r="A170" s="3" t="s">
        <v>39</v>
      </c>
      <c r="B170" s="3" t="s">
        <v>41</v>
      </c>
      <c r="C170" s="5">
        <v>3</v>
      </c>
      <c r="D170" s="5">
        <v>1</v>
      </c>
      <c r="E170" s="8">
        <v>560</v>
      </c>
      <c r="F170" s="8">
        <v>10030</v>
      </c>
      <c r="G170" s="5">
        <f t="shared" si="6"/>
        <v>5.5832502492522432E-2</v>
      </c>
      <c r="H170" s="8">
        <v>3871</v>
      </c>
      <c r="I170" s="8">
        <v>70</v>
      </c>
      <c r="J170" s="8">
        <v>19996</v>
      </c>
      <c r="K170" s="5">
        <f t="shared" si="7"/>
        <v>3.5707142857142857</v>
      </c>
      <c r="L170" s="5">
        <v>3.17095161290323</v>
      </c>
      <c r="M170" s="5">
        <v>48.665804399999999</v>
      </c>
      <c r="N170" s="5">
        <v>20.621303999999999</v>
      </c>
      <c r="O170" s="5">
        <f t="shared" si="8"/>
        <v>0.57626706772363556</v>
      </c>
      <c r="P170" s="5">
        <v>0.66520335483870996</v>
      </c>
      <c r="Q170" s="5">
        <v>0.72030425806451603</v>
      </c>
    </row>
    <row r="171" spans="1:17" ht="15.5" x14ac:dyDescent="0.35">
      <c r="A171" s="3" t="s">
        <v>39</v>
      </c>
      <c r="B171" s="3" t="s">
        <v>42</v>
      </c>
      <c r="C171" s="5">
        <v>7</v>
      </c>
      <c r="D171" s="5">
        <v>1</v>
      </c>
      <c r="E171" s="8">
        <v>534</v>
      </c>
      <c r="F171" s="8">
        <v>7616</v>
      </c>
      <c r="G171" s="5">
        <f t="shared" si="6"/>
        <v>7.0115546218487396E-2</v>
      </c>
      <c r="H171" s="8">
        <v>3139</v>
      </c>
      <c r="I171" s="8">
        <v>90</v>
      </c>
      <c r="J171" s="8">
        <v>18972</v>
      </c>
      <c r="K171" s="5">
        <f t="shared" si="7"/>
        <v>3.5528089887640446</v>
      </c>
      <c r="L171" s="5">
        <v>2.8994806451612898</v>
      </c>
      <c r="M171" s="5">
        <v>40.771447199999997</v>
      </c>
      <c r="N171" s="5">
        <v>16.371558</v>
      </c>
      <c r="O171" s="5">
        <f t="shared" si="8"/>
        <v>0.59845531310941547</v>
      </c>
      <c r="P171" s="5">
        <v>0.52811477419354802</v>
      </c>
      <c r="Q171" s="5">
        <v>0.55115639999999999</v>
      </c>
    </row>
    <row r="172" spans="1:17" s="16" customFormat="1" ht="15.5" x14ac:dyDescent="0.35">
      <c r="A172" s="3" t="s">
        <v>39</v>
      </c>
      <c r="B172" s="3" t="s">
        <v>43</v>
      </c>
      <c r="C172" s="5">
        <v>8</v>
      </c>
      <c r="D172" s="5">
        <v>1</v>
      </c>
      <c r="E172" s="8">
        <v>710</v>
      </c>
      <c r="F172" s="8">
        <v>6587</v>
      </c>
      <c r="G172" s="5">
        <f t="shared" si="6"/>
        <v>0.10778806740549568</v>
      </c>
      <c r="H172" s="8">
        <v>14031</v>
      </c>
      <c r="I172" s="8">
        <v>248</v>
      </c>
      <c r="J172" s="8">
        <v>53499</v>
      </c>
      <c r="K172" s="5">
        <f t="shared" si="7"/>
        <v>7.5350704225352114</v>
      </c>
      <c r="L172" s="5">
        <v>2.0284032258064499</v>
      </c>
      <c r="M172" s="5">
        <v>136.29118320000001</v>
      </c>
      <c r="N172" s="5">
        <v>55.789462800000003</v>
      </c>
      <c r="O172" s="5">
        <f t="shared" si="8"/>
        <v>0.59065978084486981</v>
      </c>
      <c r="P172" s="5">
        <v>1.7996600903225799</v>
      </c>
      <c r="Q172" s="5">
        <v>1.61045663225806</v>
      </c>
    </row>
    <row r="173" spans="1:17" s="16" customFormat="1" ht="15.5" x14ac:dyDescent="0.35">
      <c r="A173" s="3" t="s">
        <v>39</v>
      </c>
      <c r="B173" s="3" t="s">
        <v>44</v>
      </c>
      <c r="C173" s="5">
        <v>12</v>
      </c>
      <c r="D173" s="5">
        <v>1</v>
      </c>
      <c r="E173" s="8">
        <v>760</v>
      </c>
      <c r="F173" s="8">
        <v>10549</v>
      </c>
      <c r="G173" s="5">
        <f t="shared" si="6"/>
        <v>7.2044743577590289E-2</v>
      </c>
      <c r="H173" s="8">
        <v>9383</v>
      </c>
      <c r="I173" s="8">
        <v>229</v>
      </c>
      <c r="J173" s="8">
        <v>36461</v>
      </c>
      <c r="K173" s="5">
        <f t="shared" si="7"/>
        <v>4.7974999999999994</v>
      </c>
      <c r="L173" s="5">
        <v>3.0925741935483901</v>
      </c>
      <c r="M173" s="5">
        <v>64.530853199999996</v>
      </c>
      <c r="N173" s="5">
        <v>26.471609999999998</v>
      </c>
      <c r="O173" s="5">
        <f t="shared" si="8"/>
        <v>0.589783666458636</v>
      </c>
      <c r="P173" s="5">
        <v>0.853922903225806</v>
      </c>
      <c r="Q173" s="5">
        <v>0.82465943225806404</v>
      </c>
    </row>
    <row r="174" spans="1:17" s="16" customFormat="1" ht="15.5" x14ac:dyDescent="0.35">
      <c r="A174" s="3" t="s">
        <v>39</v>
      </c>
      <c r="B174" s="3" t="s">
        <v>45</v>
      </c>
      <c r="C174" s="5">
        <v>13</v>
      </c>
      <c r="D174" s="5">
        <v>0</v>
      </c>
      <c r="E174" s="8">
        <v>723</v>
      </c>
      <c r="F174" s="8">
        <v>8657</v>
      </c>
      <c r="G174" s="5">
        <f t="shared" si="6"/>
        <v>8.3516229640753142E-2</v>
      </c>
      <c r="H174" s="8">
        <v>19236</v>
      </c>
      <c r="I174" s="8">
        <v>221</v>
      </c>
      <c r="J174" s="8">
        <v>60649</v>
      </c>
      <c r="K174" s="5">
        <f t="shared" si="7"/>
        <v>8.388520055325035</v>
      </c>
      <c r="L174" s="5">
        <v>1.9795806451612901</v>
      </c>
      <c r="M174" s="5">
        <v>218.07604079999999</v>
      </c>
      <c r="N174" s="5">
        <v>80.370241199999995</v>
      </c>
      <c r="O174" s="5">
        <f t="shared" si="8"/>
        <v>0.63145772041180603</v>
      </c>
      <c r="P174" s="5">
        <v>2.5925884258064502</v>
      </c>
      <c r="Q174" s="5">
        <v>2.3337301935483898</v>
      </c>
    </row>
    <row r="175" spans="1:17" ht="15.5" x14ac:dyDescent="0.35">
      <c r="A175" s="3" t="s">
        <v>39</v>
      </c>
      <c r="B175" s="3" t="s">
        <v>46</v>
      </c>
      <c r="C175" s="5">
        <v>4</v>
      </c>
      <c r="D175" s="5">
        <v>0</v>
      </c>
      <c r="E175" s="8">
        <v>592</v>
      </c>
      <c r="F175" s="8">
        <v>8524</v>
      </c>
      <c r="G175" s="5">
        <f t="shared" si="6"/>
        <v>6.9450961989676208E-2</v>
      </c>
      <c r="H175" s="8">
        <v>3099</v>
      </c>
      <c r="I175" s="8">
        <v>235</v>
      </c>
      <c r="J175" s="8">
        <v>29154</v>
      </c>
      <c r="K175" s="5">
        <f t="shared" si="7"/>
        <v>4.9246621621621616</v>
      </c>
      <c r="L175" s="5">
        <v>3.3304580645161299</v>
      </c>
      <c r="M175" s="5">
        <v>47.548231199999996</v>
      </c>
      <c r="N175" s="5">
        <v>19.145840400000001</v>
      </c>
      <c r="O175" s="5">
        <f t="shared" si="8"/>
        <v>0.59733853569720163</v>
      </c>
      <c r="P175" s="5">
        <v>0.61760775483871</v>
      </c>
      <c r="Q175" s="5">
        <v>0.65734478709677402</v>
      </c>
    </row>
    <row r="176" spans="1:17" ht="15.5" x14ac:dyDescent="0.35">
      <c r="A176" s="3" t="s">
        <v>39</v>
      </c>
      <c r="B176" s="3" t="s">
        <v>47</v>
      </c>
      <c r="C176" s="5">
        <v>4</v>
      </c>
      <c r="D176" s="5">
        <v>0</v>
      </c>
      <c r="E176" s="8">
        <v>501</v>
      </c>
      <c r="F176" s="8">
        <v>5788</v>
      </c>
      <c r="G176" s="5">
        <f t="shared" si="6"/>
        <v>8.6558396682791985E-2</v>
      </c>
      <c r="H176" s="8">
        <v>5133</v>
      </c>
      <c r="I176" s="8">
        <v>87</v>
      </c>
      <c r="J176" s="8">
        <v>21562</v>
      </c>
      <c r="K176" s="5">
        <f t="shared" si="7"/>
        <v>4.3037924151696609</v>
      </c>
      <c r="L176" s="5">
        <v>3.0355935483871002</v>
      </c>
      <c r="M176" s="5">
        <v>49.9724316</v>
      </c>
      <c r="N176" s="5">
        <v>20.701558800000001</v>
      </c>
      <c r="O176" s="5">
        <f t="shared" si="8"/>
        <v>0.58574041452087355</v>
      </c>
      <c r="P176" s="5">
        <v>0.66779221935483901</v>
      </c>
      <c r="Q176" s="5">
        <v>0.66186197419354797</v>
      </c>
    </row>
    <row r="177" spans="1:17" ht="15.5" x14ac:dyDescent="0.35">
      <c r="A177" s="3" t="s">
        <v>39</v>
      </c>
      <c r="B177" s="3" t="s">
        <v>48</v>
      </c>
      <c r="C177" s="5">
        <v>6</v>
      </c>
      <c r="D177" s="5">
        <v>1</v>
      </c>
      <c r="E177" s="8">
        <v>503</v>
      </c>
      <c r="F177" s="8">
        <v>4627</v>
      </c>
      <c r="G177" s="5">
        <f t="shared" si="6"/>
        <v>0.10870974713637346</v>
      </c>
      <c r="H177" s="8">
        <v>11852</v>
      </c>
      <c r="I177" s="8">
        <v>205</v>
      </c>
      <c r="J177" s="8">
        <v>42210</v>
      </c>
      <c r="K177" s="5">
        <f t="shared" si="7"/>
        <v>8.3916500994035772</v>
      </c>
      <c r="L177" s="5">
        <v>2.2067354838709701</v>
      </c>
      <c r="M177" s="5">
        <v>106.43076000000001</v>
      </c>
      <c r="N177" s="5">
        <v>37.301018399999997</v>
      </c>
      <c r="O177" s="5">
        <f t="shared" si="8"/>
        <v>0.64952783950805204</v>
      </c>
      <c r="P177" s="5">
        <v>1.2032586580645199</v>
      </c>
      <c r="Q177" s="5">
        <v>1.0588696258064501</v>
      </c>
    </row>
    <row r="178" spans="1:17" ht="15.5" x14ac:dyDescent="0.35">
      <c r="A178" s="3" t="s">
        <v>39</v>
      </c>
      <c r="B178" s="3" t="s">
        <v>49</v>
      </c>
      <c r="C178" s="5">
        <v>7</v>
      </c>
      <c r="D178" s="5">
        <v>1</v>
      </c>
      <c r="E178" s="8">
        <v>1042</v>
      </c>
      <c r="F178" s="8">
        <v>11765</v>
      </c>
      <c r="G178" s="5">
        <f t="shared" si="6"/>
        <v>8.8567785805354862E-2</v>
      </c>
      <c r="H178" s="8">
        <v>7151</v>
      </c>
      <c r="I178" s="8">
        <v>177</v>
      </c>
      <c r="J178" s="8">
        <v>43616</v>
      </c>
      <c r="K178" s="5">
        <f t="shared" si="7"/>
        <v>4.1857965451055659</v>
      </c>
      <c r="L178" s="5">
        <v>2.7436483870967701</v>
      </c>
      <c r="M178" s="5">
        <v>76.959266400000004</v>
      </c>
      <c r="N178" s="5">
        <v>29.357348399999999</v>
      </c>
      <c r="O178" s="5">
        <f t="shared" si="8"/>
        <v>0.61853393654490452</v>
      </c>
      <c r="P178" s="5">
        <v>0.94701123870967696</v>
      </c>
      <c r="Q178" s="5">
        <v>0.985617406451613</v>
      </c>
    </row>
    <row r="179" spans="1:17" s="16" customFormat="1" ht="15.5" x14ac:dyDescent="0.35">
      <c r="A179" s="3" t="s">
        <v>39</v>
      </c>
      <c r="B179" s="3" t="s">
        <v>50</v>
      </c>
      <c r="C179" s="5">
        <v>9</v>
      </c>
      <c r="D179" s="5">
        <v>1</v>
      </c>
      <c r="E179" s="8">
        <v>821</v>
      </c>
      <c r="F179" s="8">
        <v>16931</v>
      </c>
      <c r="G179" s="5">
        <f t="shared" si="6"/>
        <v>4.8490933790089188E-2</v>
      </c>
      <c r="H179" s="8">
        <v>5702</v>
      </c>
      <c r="I179" s="8">
        <v>164</v>
      </c>
      <c r="J179" s="8">
        <v>29368</v>
      </c>
      <c r="K179" s="5">
        <f t="shared" si="7"/>
        <v>3.577101096224117</v>
      </c>
      <c r="L179" s="5">
        <v>3.85876451612903</v>
      </c>
      <c r="M179" s="5">
        <v>63.583542000000001</v>
      </c>
      <c r="N179" s="5">
        <v>30.364794</v>
      </c>
      <c r="O179" s="5">
        <f t="shared" si="8"/>
        <v>0.52244255282286733</v>
      </c>
      <c r="P179" s="5">
        <v>0.97950948387096803</v>
      </c>
      <c r="Q179" s="5">
        <v>1.03534722580645</v>
      </c>
    </row>
    <row r="180" spans="1:17" ht="15.5" x14ac:dyDescent="0.35">
      <c r="A180" s="3" t="s">
        <v>39</v>
      </c>
      <c r="B180" s="3" t="s">
        <v>51</v>
      </c>
      <c r="C180" s="5">
        <v>7</v>
      </c>
      <c r="D180" s="5">
        <v>1</v>
      </c>
      <c r="E180" s="8">
        <v>457</v>
      </c>
      <c r="F180" s="8">
        <v>6591</v>
      </c>
      <c r="G180" s="5">
        <f t="shared" si="6"/>
        <v>6.9336974662418449E-2</v>
      </c>
      <c r="H180" s="8">
        <v>5850</v>
      </c>
      <c r="I180" s="8">
        <v>76</v>
      </c>
      <c r="J180" s="8">
        <v>17788</v>
      </c>
      <c r="K180" s="5">
        <f t="shared" si="7"/>
        <v>3.8923413566739606</v>
      </c>
      <c r="L180" s="5">
        <v>2.9625612903225802</v>
      </c>
      <c r="M180" s="5">
        <v>49.076539199999999</v>
      </c>
      <c r="N180" s="5">
        <v>18.9818316</v>
      </c>
      <c r="O180" s="5">
        <f t="shared" si="8"/>
        <v>0.61321984171206601</v>
      </c>
      <c r="P180" s="5">
        <v>0.61231714838709705</v>
      </c>
      <c r="Q180" s="5">
        <v>0.61081107096774201</v>
      </c>
    </row>
    <row r="181" spans="1:17" s="12" customFormat="1" ht="15.5" x14ac:dyDescent="0.35">
      <c r="A181" s="3" t="s">
        <v>39</v>
      </c>
      <c r="B181" s="3" t="s">
        <v>52</v>
      </c>
      <c r="C181" s="5">
        <v>8</v>
      </c>
      <c r="D181" s="5">
        <v>0</v>
      </c>
      <c r="E181" s="8">
        <v>270</v>
      </c>
      <c r="F181" s="8">
        <v>3840</v>
      </c>
      <c r="G181" s="5">
        <f t="shared" si="6"/>
        <v>7.03125E-2</v>
      </c>
      <c r="H181" s="8">
        <v>4127</v>
      </c>
      <c r="I181" s="8">
        <v>53</v>
      </c>
      <c r="J181" s="8">
        <v>11650</v>
      </c>
      <c r="K181" s="5">
        <f t="shared" si="7"/>
        <v>4.3148148148148149</v>
      </c>
      <c r="L181" s="5">
        <v>2.66121612903226</v>
      </c>
      <c r="M181" s="5">
        <v>44.041838400000003</v>
      </c>
      <c r="N181" s="5">
        <v>16.4699244</v>
      </c>
      <c r="O181" s="5">
        <f t="shared" si="8"/>
        <v>0.62603912556020824</v>
      </c>
      <c r="P181" s="5">
        <v>0.53128788387096804</v>
      </c>
      <c r="Q181" s="5">
        <v>0.528254825806452</v>
      </c>
    </row>
    <row r="182" spans="1:17" s="16" customFormat="1" ht="15.5" x14ac:dyDescent="0.35">
      <c r="A182" s="3" t="s">
        <v>348</v>
      </c>
      <c r="B182" s="3" t="s">
        <v>230</v>
      </c>
      <c r="C182" s="5">
        <v>13</v>
      </c>
      <c r="D182" s="5">
        <v>1</v>
      </c>
      <c r="E182" s="8">
        <v>793</v>
      </c>
      <c r="F182" s="8">
        <v>22757</v>
      </c>
      <c r="G182" s="5">
        <f t="shared" si="6"/>
        <v>3.4846420881487018E-2</v>
      </c>
      <c r="H182" s="8">
        <v>2513</v>
      </c>
      <c r="I182" s="8">
        <v>152</v>
      </c>
      <c r="J182" s="8">
        <v>28011</v>
      </c>
      <c r="K182" s="5">
        <f t="shared" si="7"/>
        <v>3.532282471626734</v>
      </c>
      <c r="L182" s="5">
        <v>3.2159387096774199</v>
      </c>
      <c r="M182" s="5">
        <v>59.533444799999998</v>
      </c>
      <c r="N182" s="5">
        <v>18.339760800000001</v>
      </c>
      <c r="O182" s="5">
        <f t="shared" si="8"/>
        <v>0.69194188474039042</v>
      </c>
      <c r="P182" s="5">
        <v>0.59160518709677401</v>
      </c>
      <c r="Q182" s="5">
        <v>0.64774184516128996</v>
      </c>
    </row>
    <row r="183" spans="1:17" ht="15.5" x14ac:dyDescent="0.35">
      <c r="A183" s="3" t="s">
        <v>348</v>
      </c>
      <c r="B183" s="3" t="s">
        <v>231</v>
      </c>
      <c r="C183" s="5">
        <v>12</v>
      </c>
      <c r="D183" s="5">
        <v>1</v>
      </c>
      <c r="E183" s="8">
        <v>525</v>
      </c>
      <c r="F183" s="8">
        <v>19077</v>
      </c>
      <c r="G183" s="5">
        <f t="shared" si="6"/>
        <v>2.7520050322377733E-2</v>
      </c>
      <c r="H183" s="8">
        <v>3121</v>
      </c>
      <c r="I183" s="8">
        <v>62</v>
      </c>
      <c r="J183" s="8">
        <v>18798</v>
      </c>
      <c r="K183" s="5">
        <f t="shared" si="7"/>
        <v>3.5805714285714285</v>
      </c>
      <c r="L183" s="5">
        <v>2.7128451612903199</v>
      </c>
      <c r="M183" s="5">
        <v>44.431675200000001</v>
      </c>
      <c r="N183" s="5">
        <v>14.8461336</v>
      </c>
      <c r="O183" s="5">
        <f t="shared" si="8"/>
        <v>0.66586599462718432</v>
      </c>
      <c r="P183" s="5">
        <v>0.47890753548387099</v>
      </c>
      <c r="Q183" s="5">
        <v>0.44017385806451598</v>
      </c>
    </row>
    <row r="184" spans="1:17" ht="15.5" x14ac:dyDescent="0.35">
      <c r="A184" s="3" t="s">
        <v>348</v>
      </c>
      <c r="B184" s="3" t="s">
        <v>232</v>
      </c>
      <c r="C184" s="5">
        <v>9</v>
      </c>
      <c r="D184" s="5">
        <v>1</v>
      </c>
      <c r="E184" s="8">
        <v>536</v>
      </c>
      <c r="F184" s="8">
        <v>7195</v>
      </c>
      <c r="G184" s="5">
        <f t="shared" si="6"/>
        <v>7.4496177901320362E-2</v>
      </c>
      <c r="H184" s="8">
        <v>5596</v>
      </c>
      <c r="I184" s="8">
        <v>138</v>
      </c>
      <c r="J184" s="8">
        <v>31082</v>
      </c>
      <c r="K184" s="5">
        <f t="shared" si="7"/>
        <v>5.7988805970149251</v>
      </c>
      <c r="L184" s="5">
        <v>1.8515548387096801</v>
      </c>
      <c r="M184" s="5">
        <v>67.886035199999995</v>
      </c>
      <c r="N184" s="5">
        <v>25.253499600000001</v>
      </c>
      <c r="O184" s="5">
        <f t="shared" si="8"/>
        <v>0.62800155399265378</v>
      </c>
      <c r="P184" s="5">
        <v>0.814629019354839</v>
      </c>
      <c r="Q184" s="5">
        <v>0.74298425806451596</v>
      </c>
    </row>
    <row r="185" spans="1:17" s="12" customFormat="1" ht="15.5" x14ac:dyDescent="0.35">
      <c r="A185" s="3" t="s">
        <v>348</v>
      </c>
      <c r="B185" s="3" t="s">
        <v>233</v>
      </c>
      <c r="C185" s="5">
        <v>13</v>
      </c>
      <c r="D185" s="5">
        <v>1</v>
      </c>
      <c r="E185" s="8">
        <v>540</v>
      </c>
      <c r="F185" s="8">
        <v>25284</v>
      </c>
      <c r="G185" s="5">
        <f t="shared" si="6"/>
        <v>2.1357380161366873E-2</v>
      </c>
      <c r="H185" s="8">
        <v>2085</v>
      </c>
      <c r="I185" s="8">
        <v>75</v>
      </c>
      <c r="J185" s="8">
        <v>18231</v>
      </c>
      <c r="K185" s="5">
        <f t="shared" si="7"/>
        <v>3.3761111111111108</v>
      </c>
      <c r="L185" s="5">
        <v>2.9754</v>
      </c>
      <c r="M185" s="5">
        <v>38.378642399999997</v>
      </c>
      <c r="N185" s="5">
        <v>14.7072348</v>
      </c>
      <c r="O185" s="5">
        <f t="shared" si="8"/>
        <v>0.61678595488828436</v>
      </c>
      <c r="P185" s="5">
        <v>0.47442692903225803</v>
      </c>
      <c r="Q185" s="5">
        <v>0.41525825806451599</v>
      </c>
    </row>
    <row r="186" spans="1:17" ht="15.5" x14ac:dyDescent="0.35">
      <c r="A186" s="3" t="s">
        <v>348</v>
      </c>
      <c r="B186" s="3" t="s">
        <v>234</v>
      </c>
      <c r="C186" s="5">
        <v>6</v>
      </c>
      <c r="D186" s="5">
        <v>1</v>
      </c>
      <c r="E186" s="8">
        <v>604</v>
      </c>
      <c r="F186" s="8">
        <v>18669</v>
      </c>
      <c r="G186" s="5">
        <f t="shared" si="6"/>
        <v>3.2353098719802881E-2</v>
      </c>
      <c r="H186" s="8">
        <v>2688</v>
      </c>
      <c r="I186" s="8">
        <v>82</v>
      </c>
      <c r="J186" s="8">
        <v>20889</v>
      </c>
      <c r="K186" s="5">
        <f t="shared" si="7"/>
        <v>3.4584437086092712</v>
      </c>
      <c r="L186" s="5">
        <v>2.8922612903225802</v>
      </c>
      <c r="M186" s="5">
        <v>51.742994400000001</v>
      </c>
      <c r="N186" s="5">
        <v>16.742699999999999</v>
      </c>
      <c r="O186" s="5">
        <f t="shared" si="8"/>
        <v>0.67642576170659341</v>
      </c>
      <c r="P186" s="5">
        <v>0.54008709677419398</v>
      </c>
      <c r="Q186" s="5">
        <v>0.53781282580645196</v>
      </c>
    </row>
    <row r="187" spans="1:17" ht="15.5" x14ac:dyDescent="0.35">
      <c r="A187" s="3" t="s">
        <v>348</v>
      </c>
      <c r="B187" s="3" t="s">
        <v>235</v>
      </c>
      <c r="C187" s="5">
        <v>6</v>
      </c>
      <c r="D187" s="5">
        <v>0</v>
      </c>
      <c r="E187" s="8">
        <v>433</v>
      </c>
      <c r="F187" s="8">
        <v>18799</v>
      </c>
      <c r="G187" s="5">
        <f t="shared" si="6"/>
        <v>2.3033140060641524E-2</v>
      </c>
      <c r="H187" s="8">
        <v>1511</v>
      </c>
      <c r="I187" s="8">
        <v>89</v>
      </c>
      <c r="J187" s="8">
        <v>13844</v>
      </c>
      <c r="K187" s="5">
        <f t="shared" si="7"/>
        <v>3.1972286374133949</v>
      </c>
      <c r="L187" s="5">
        <v>3.3804290322580601</v>
      </c>
      <c r="M187" s="5">
        <v>32.492599200000001</v>
      </c>
      <c r="N187" s="5">
        <v>11.7930168</v>
      </c>
      <c r="O187" s="5">
        <f t="shared" si="8"/>
        <v>0.63705529596413446</v>
      </c>
      <c r="P187" s="5">
        <v>0.38041989677419402</v>
      </c>
      <c r="Q187" s="5">
        <v>0.35733646451612899</v>
      </c>
    </row>
    <row r="188" spans="1:17" ht="15.5" x14ac:dyDescent="0.35">
      <c r="A188" s="3" t="s">
        <v>348</v>
      </c>
      <c r="B188" s="3" t="s">
        <v>236</v>
      </c>
      <c r="C188" s="5">
        <v>3</v>
      </c>
      <c r="D188" s="5">
        <v>0</v>
      </c>
      <c r="E188" s="8">
        <v>125</v>
      </c>
      <c r="F188" s="8">
        <v>3178</v>
      </c>
      <c r="G188" s="5">
        <f t="shared" si="6"/>
        <v>3.9332913782252989E-2</v>
      </c>
      <c r="H188" s="8">
        <v>972</v>
      </c>
      <c r="I188" s="8">
        <v>19</v>
      </c>
      <c r="J188" s="8">
        <v>5245</v>
      </c>
      <c r="K188" s="5">
        <f t="shared" si="7"/>
        <v>4.1959999999999997</v>
      </c>
      <c r="L188" s="5">
        <v>2.2956451612903201</v>
      </c>
      <c r="M188" s="5">
        <v>12.280086000000001</v>
      </c>
      <c r="N188" s="5">
        <v>4.0976927999999999</v>
      </c>
      <c r="O188" s="5">
        <f t="shared" si="8"/>
        <v>0.66631399812672321</v>
      </c>
      <c r="P188" s="5">
        <v>0.132183638709677</v>
      </c>
      <c r="Q188" s="5">
        <v>0.124993974193548</v>
      </c>
    </row>
    <row r="189" spans="1:17" ht="15.5" x14ac:dyDescent="0.35">
      <c r="A189" s="3" t="s">
        <v>348</v>
      </c>
      <c r="B189" s="3" t="s">
        <v>237</v>
      </c>
      <c r="C189" s="5">
        <v>5</v>
      </c>
      <c r="D189" s="5">
        <v>1</v>
      </c>
      <c r="E189" s="8">
        <v>171</v>
      </c>
      <c r="F189" s="8">
        <v>5262</v>
      </c>
      <c r="G189" s="5">
        <f t="shared" si="6"/>
        <v>3.2497149372862029E-2</v>
      </c>
      <c r="H189" s="8">
        <v>926</v>
      </c>
      <c r="I189" s="8">
        <v>27</v>
      </c>
      <c r="J189" s="8">
        <v>8009</v>
      </c>
      <c r="K189" s="5">
        <f t="shared" si="7"/>
        <v>4.6836257309941516</v>
      </c>
      <c r="L189" s="5">
        <v>2.8699548387096798</v>
      </c>
      <c r="M189" s="5">
        <v>17.954071200000001</v>
      </c>
      <c r="N189" s="5">
        <v>5.5225476000000002</v>
      </c>
      <c r="O189" s="5">
        <f t="shared" si="8"/>
        <v>0.69240694556229676</v>
      </c>
      <c r="P189" s="5">
        <v>0.17814669677419401</v>
      </c>
      <c r="Q189" s="5">
        <v>0.175783587096774</v>
      </c>
    </row>
    <row r="190" spans="1:17" ht="15.5" x14ac:dyDescent="0.35">
      <c r="A190" s="3" t="s">
        <v>348</v>
      </c>
      <c r="B190" s="3" t="s">
        <v>238</v>
      </c>
      <c r="C190" s="5">
        <v>6</v>
      </c>
      <c r="D190" s="5">
        <v>0</v>
      </c>
      <c r="E190" s="8">
        <v>200</v>
      </c>
      <c r="F190" s="8">
        <v>3831</v>
      </c>
      <c r="G190" s="5">
        <f t="shared" si="6"/>
        <v>5.2205690420255808E-2</v>
      </c>
      <c r="H190" s="8">
        <v>930</v>
      </c>
      <c r="I190" s="8">
        <v>33</v>
      </c>
      <c r="J190" s="8">
        <v>7922</v>
      </c>
      <c r="K190" s="5">
        <f t="shared" si="7"/>
        <v>3.9610000000000003</v>
      </c>
      <c r="L190" s="5">
        <v>2.7167516129032299</v>
      </c>
      <c r="M190" s="5">
        <v>16.943644800000001</v>
      </c>
      <c r="N190" s="5">
        <v>6.2024292000000001</v>
      </c>
      <c r="O190" s="5">
        <f t="shared" si="8"/>
        <v>0.6339377227737919</v>
      </c>
      <c r="P190" s="5">
        <v>0.200078361290323</v>
      </c>
      <c r="Q190" s="5">
        <v>0.18410411612903199</v>
      </c>
    </row>
    <row r="191" spans="1:17" ht="15.5" x14ac:dyDescent="0.35">
      <c r="A191" s="3" t="s">
        <v>348</v>
      </c>
      <c r="B191" s="3" t="s">
        <v>239</v>
      </c>
      <c r="C191" s="5">
        <v>20</v>
      </c>
      <c r="D191" s="5">
        <v>2</v>
      </c>
      <c r="E191" s="8">
        <v>983</v>
      </c>
      <c r="F191" s="8">
        <v>39363</v>
      </c>
      <c r="G191" s="5">
        <f t="shared" si="6"/>
        <v>2.4972690089678125E-2</v>
      </c>
      <c r="H191" s="8">
        <v>3474</v>
      </c>
      <c r="I191" s="8">
        <v>101</v>
      </c>
      <c r="J191" s="8">
        <v>31623</v>
      </c>
      <c r="K191" s="5">
        <f t="shared" si="7"/>
        <v>3.2169888097660224</v>
      </c>
      <c r="L191" s="5">
        <v>2.8821612903225802</v>
      </c>
      <c r="M191" s="5">
        <v>54.269416800000002</v>
      </c>
      <c r="N191" s="5">
        <v>19.1539404</v>
      </c>
      <c r="O191" s="5">
        <f t="shared" si="8"/>
        <v>0.64705829674587556</v>
      </c>
      <c r="P191" s="5">
        <v>0.61786904516129004</v>
      </c>
      <c r="Q191" s="5">
        <v>0.61300381935483905</v>
      </c>
    </row>
    <row r="192" spans="1:17" ht="15.5" x14ac:dyDescent="0.35">
      <c r="A192" s="3" t="s">
        <v>348</v>
      </c>
      <c r="B192" s="3" t="s">
        <v>240</v>
      </c>
      <c r="C192" s="5">
        <v>4</v>
      </c>
      <c r="D192" s="5">
        <v>0</v>
      </c>
      <c r="E192" s="8">
        <v>129</v>
      </c>
      <c r="F192" s="8">
        <v>3560</v>
      </c>
      <c r="G192" s="5">
        <f t="shared" si="6"/>
        <v>3.6235955056179776E-2</v>
      </c>
      <c r="H192" s="8">
        <v>941</v>
      </c>
      <c r="I192" s="8">
        <v>29</v>
      </c>
      <c r="J192" s="8">
        <v>5908</v>
      </c>
      <c r="K192" s="5">
        <f t="shared" si="7"/>
        <v>4.57984496124031</v>
      </c>
      <c r="L192" s="5">
        <v>2.9872612903225799</v>
      </c>
      <c r="M192" s="5">
        <v>11.998821599999999</v>
      </c>
      <c r="N192" s="5">
        <v>3.9297960000000001</v>
      </c>
      <c r="O192" s="5">
        <f t="shared" si="8"/>
        <v>0.6724848380110926</v>
      </c>
      <c r="P192" s="5">
        <v>0.126767612903226</v>
      </c>
      <c r="Q192" s="5">
        <v>0.152769135483871</v>
      </c>
    </row>
    <row r="193" spans="1:17" ht="15.5" x14ac:dyDescent="0.35">
      <c r="A193" s="3" t="s">
        <v>354</v>
      </c>
      <c r="B193" s="3" t="s">
        <v>152</v>
      </c>
      <c r="C193" s="5">
        <v>19</v>
      </c>
      <c r="D193" s="5">
        <v>1</v>
      </c>
      <c r="E193" s="8">
        <v>233</v>
      </c>
      <c r="F193" s="8">
        <v>15290</v>
      </c>
      <c r="G193" s="5">
        <f t="shared" si="6"/>
        <v>1.5238718116415959E-2</v>
      </c>
      <c r="H193" s="8">
        <v>768</v>
      </c>
      <c r="I193" s="8">
        <v>53</v>
      </c>
      <c r="J193" s="8">
        <v>11543</v>
      </c>
      <c r="K193" s="5">
        <f t="shared" si="7"/>
        <v>4.9540772532188848</v>
      </c>
      <c r="L193" s="5">
        <v>3.17687419354839</v>
      </c>
      <c r="M193" s="5">
        <v>12.1570956</v>
      </c>
      <c r="N193" s="5">
        <v>5.7523283999999997</v>
      </c>
      <c r="O193" s="5">
        <f t="shared" si="8"/>
        <v>0.52683366247444829</v>
      </c>
      <c r="P193" s="5">
        <v>0.18555898064516099</v>
      </c>
      <c r="Q193" s="5">
        <v>0.177490335483871</v>
      </c>
    </row>
    <row r="194" spans="1:17" ht="15.5" x14ac:dyDescent="0.35">
      <c r="A194" s="3" t="s">
        <v>354</v>
      </c>
      <c r="B194" s="3" t="s">
        <v>153</v>
      </c>
      <c r="C194" s="5">
        <v>27</v>
      </c>
      <c r="D194" s="5">
        <v>2</v>
      </c>
      <c r="E194" s="8">
        <v>599</v>
      </c>
      <c r="F194" s="8">
        <v>13739</v>
      </c>
      <c r="G194" s="5">
        <f t="shared" ref="G194:G257" si="9">E194/F194</f>
        <v>4.3598515175776988E-2</v>
      </c>
      <c r="H194" s="8">
        <v>7002</v>
      </c>
      <c r="I194" s="8">
        <v>200</v>
      </c>
      <c r="J194" s="8">
        <v>45356</v>
      </c>
      <c r="K194" s="5">
        <f t="shared" ref="K194:K257" si="10">(J194/(E194*10000))*1000</f>
        <v>7.5719532554257096</v>
      </c>
      <c r="L194" s="5">
        <v>2.8146290322580598</v>
      </c>
      <c r="M194" s="5">
        <v>43.167135600000002</v>
      </c>
      <c r="N194" s="5">
        <v>19.940806800000001</v>
      </c>
      <c r="O194" s="5">
        <f t="shared" ref="O194:O257" si="11">1-N194/M194</f>
        <v>0.53805582596960644</v>
      </c>
      <c r="P194" s="5">
        <v>0.64325183225806404</v>
      </c>
      <c r="Q194" s="5">
        <v>0.66837541935483902</v>
      </c>
    </row>
    <row r="195" spans="1:17" s="16" customFormat="1" ht="15.5" x14ac:dyDescent="0.35">
      <c r="A195" s="3" t="s">
        <v>354</v>
      </c>
      <c r="B195" s="3" t="s">
        <v>154</v>
      </c>
      <c r="C195" s="5">
        <v>10</v>
      </c>
      <c r="D195" s="5">
        <v>0</v>
      </c>
      <c r="E195" s="8">
        <v>207</v>
      </c>
      <c r="F195" s="8">
        <v>11271</v>
      </c>
      <c r="G195" s="5">
        <f t="shared" si="9"/>
        <v>1.8365717327655046E-2</v>
      </c>
      <c r="H195" s="8">
        <v>847</v>
      </c>
      <c r="I195" s="8">
        <v>54</v>
      </c>
      <c r="J195" s="8">
        <v>11886</v>
      </c>
      <c r="K195" s="5">
        <f t="shared" si="10"/>
        <v>5.7420289855072468</v>
      </c>
      <c r="L195" s="5">
        <v>3.27244516129032</v>
      </c>
      <c r="M195" s="5">
        <v>15.622826399999999</v>
      </c>
      <c r="N195" s="5">
        <v>7.3068803999999998</v>
      </c>
      <c r="O195" s="5">
        <f t="shared" si="11"/>
        <v>0.53229459171357107</v>
      </c>
      <c r="P195" s="5">
        <v>0.235705819354839</v>
      </c>
      <c r="Q195" s="5">
        <v>0.237740748387097</v>
      </c>
    </row>
    <row r="196" spans="1:17" ht="15.5" x14ac:dyDescent="0.35">
      <c r="A196" s="3" t="s">
        <v>354</v>
      </c>
      <c r="B196" s="3" t="s">
        <v>155</v>
      </c>
      <c r="C196" s="5">
        <v>23</v>
      </c>
      <c r="D196" s="5">
        <v>1</v>
      </c>
      <c r="E196" s="8">
        <v>335</v>
      </c>
      <c r="F196" s="8">
        <v>19698</v>
      </c>
      <c r="G196" s="5">
        <f t="shared" si="9"/>
        <v>1.7006802721088437E-2</v>
      </c>
      <c r="H196" s="8">
        <v>843</v>
      </c>
      <c r="I196" s="8">
        <v>95</v>
      </c>
      <c r="J196" s="8">
        <v>15500</v>
      </c>
      <c r="K196" s="5">
        <f t="shared" si="10"/>
        <v>4.6268656716417906</v>
      </c>
      <c r="L196" s="5">
        <v>3.68331612903226</v>
      </c>
      <c r="M196" s="5">
        <v>18.996184800000002</v>
      </c>
      <c r="N196" s="5">
        <v>9.4389947999999997</v>
      </c>
      <c r="O196" s="5">
        <f t="shared" si="11"/>
        <v>0.50311102469375857</v>
      </c>
      <c r="P196" s="5">
        <v>0.30448370322580598</v>
      </c>
      <c r="Q196" s="5">
        <v>0.30643292903225799</v>
      </c>
    </row>
    <row r="197" spans="1:17" ht="15.5" x14ac:dyDescent="0.35">
      <c r="A197" s="3" t="s">
        <v>354</v>
      </c>
      <c r="B197" s="3" t="s">
        <v>156</v>
      </c>
      <c r="C197" s="5">
        <v>17</v>
      </c>
      <c r="D197" s="5">
        <v>0</v>
      </c>
      <c r="E197" s="8">
        <v>145</v>
      </c>
      <c r="F197" s="8">
        <v>8414</v>
      </c>
      <c r="G197" s="5">
        <f t="shared" si="9"/>
        <v>1.7233182790587116E-2</v>
      </c>
      <c r="H197" s="8">
        <v>781</v>
      </c>
      <c r="I197" s="8">
        <v>43</v>
      </c>
      <c r="J197" s="8">
        <v>10906</v>
      </c>
      <c r="K197" s="5">
        <f t="shared" si="10"/>
        <v>7.5213793103448277</v>
      </c>
      <c r="L197" s="5">
        <v>3.0539451612903199</v>
      </c>
      <c r="M197" s="5">
        <v>11.0823228</v>
      </c>
      <c r="N197" s="5">
        <v>4.8469752000000002</v>
      </c>
      <c r="O197" s="5">
        <f t="shared" si="11"/>
        <v>0.56263905252786894</v>
      </c>
      <c r="P197" s="5">
        <v>0.15635403870967701</v>
      </c>
      <c r="Q197" s="5">
        <v>0.15139683870967699</v>
      </c>
    </row>
    <row r="198" spans="1:17" ht="15.5" x14ac:dyDescent="0.35">
      <c r="A198" s="3" t="s">
        <v>354</v>
      </c>
      <c r="B198" s="3" t="s">
        <v>157</v>
      </c>
      <c r="C198" s="5">
        <v>23</v>
      </c>
      <c r="D198" s="5">
        <v>1</v>
      </c>
      <c r="E198" s="8">
        <v>756</v>
      </c>
      <c r="F198" s="8">
        <v>12860</v>
      </c>
      <c r="G198" s="5">
        <f t="shared" si="9"/>
        <v>5.8786936236391911E-2</v>
      </c>
      <c r="H198" s="8">
        <v>6470</v>
      </c>
      <c r="I198" s="8">
        <v>276</v>
      </c>
      <c r="J198" s="8">
        <v>65540</v>
      </c>
      <c r="K198" s="5">
        <f t="shared" si="10"/>
        <v>8.6693121693121693</v>
      </c>
      <c r="L198" s="5">
        <v>2.5430064516129001</v>
      </c>
      <c r="M198" s="5">
        <v>93.477466800000002</v>
      </c>
      <c r="N198" s="5">
        <v>44.211419999999997</v>
      </c>
      <c r="O198" s="5">
        <f t="shared" si="11"/>
        <v>0.52703660557476728</v>
      </c>
      <c r="P198" s="5">
        <v>1.42617483870968</v>
      </c>
      <c r="Q198" s="5">
        <v>1.4508605032258099</v>
      </c>
    </row>
    <row r="199" spans="1:17" ht="15.5" x14ac:dyDescent="0.35">
      <c r="A199" s="3" t="s">
        <v>354</v>
      </c>
      <c r="B199" s="3" t="s">
        <v>158</v>
      </c>
      <c r="C199" s="5">
        <v>3</v>
      </c>
      <c r="D199" s="5">
        <v>0</v>
      </c>
      <c r="E199" s="8">
        <v>130</v>
      </c>
      <c r="F199" s="8">
        <v>4103</v>
      </c>
      <c r="G199" s="5">
        <f t="shared" si="9"/>
        <v>3.1684133560809166E-2</v>
      </c>
      <c r="H199" s="8">
        <v>1281</v>
      </c>
      <c r="I199" s="8">
        <v>58</v>
      </c>
      <c r="J199" s="8">
        <v>8847</v>
      </c>
      <c r="K199" s="5">
        <f t="shared" si="10"/>
        <v>6.8053846153846154</v>
      </c>
      <c r="L199" s="5">
        <v>2.9493290322580599</v>
      </c>
      <c r="M199" s="5">
        <v>16.910629199999999</v>
      </c>
      <c r="N199" s="5">
        <v>7.8306912000000004</v>
      </c>
      <c r="O199" s="5">
        <f t="shared" si="11"/>
        <v>0.53693673325886648</v>
      </c>
      <c r="P199" s="5">
        <v>0.25260294193548399</v>
      </c>
      <c r="Q199" s="5">
        <v>0.23830409032258101</v>
      </c>
    </row>
    <row r="200" spans="1:17" ht="15.5" x14ac:dyDescent="0.35">
      <c r="A200" s="3" t="s">
        <v>354</v>
      </c>
      <c r="B200" s="3" t="s">
        <v>159</v>
      </c>
      <c r="C200" s="5">
        <v>8</v>
      </c>
      <c r="D200" s="5">
        <v>1</v>
      </c>
      <c r="E200" s="8">
        <v>231</v>
      </c>
      <c r="F200" s="8">
        <v>5427</v>
      </c>
      <c r="G200" s="5">
        <f t="shared" si="9"/>
        <v>4.2564953012714207E-2</v>
      </c>
      <c r="H200" s="8">
        <v>1328</v>
      </c>
      <c r="I200" s="8">
        <v>132</v>
      </c>
      <c r="J200" s="8">
        <v>14238</v>
      </c>
      <c r="K200" s="5">
        <f t="shared" si="10"/>
        <v>6.1636363636363631</v>
      </c>
      <c r="L200" s="5">
        <v>3.4590645161290299</v>
      </c>
      <c r="M200" s="5">
        <v>20.3281812</v>
      </c>
      <c r="N200" s="5">
        <v>9.2941020000000005</v>
      </c>
      <c r="O200" s="5">
        <f t="shared" si="11"/>
        <v>0.54279716869111727</v>
      </c>
      <c r="P200" s="5">
        <v>0.29980974193548399</v>
      </c>
      <c r="Q200" s="5">
        <v>0.289496090322581</v>
      </c>
    </row>
    <row r="201" spans="1:17" ht="15.5" x14ac:dyDescent="0.35">
      <c r="A201" s="3" t="s">
        <v>354</v>
      </c>
      <c r="B201" s="3" t="s">
        <v>160</v>
      </c>
      <c r="C201" s="5">
        <v>13</v>
      </c>
      <c r="D201" s="5">
        <v>0</v>
      </c>
      <c r="E201" s="8">
        <v>276</v>
      </c>
      <c r="F201" s="8">
        <v>10416</v>
      </c>
      <c r="G201" s="5">
        <f t="shared" si="9"/>
        <v>2.6497695852534562E-2</v>
      </c>
      <c r="H201" s="8">
        <v>807</v>
      </c>
      <c r="I201" s="8">
        <v>97</v>
      </c>
      <c r="J201" s="8">
        <v>12457</v>
      </c>
      <c r="K201" s="5">
        <f t="shared" si="10"/>
        <v>4.5134057971014485</v>
      </c>
      <c r="L201" s="5">
        <v>3.3011032258064499</v>
      </c>
      <c r="M201" s="5">
        <v>20.071735199999999</v>
      </c>
      <c r="N201" s="5">
        <v>9.2612159999999992</v>
      </c>
      <c r="O201" s="5">
        <f t="shared" si="11"/>
        <v>0.53859415203923178</v>
      </c>
      <c r="P201" s="5">
        <v>0.298748903225806</v>
      </c>
      <c r="Q201" s="5">
        <v>0.31596689032258102</v>
      </c>
    </row>
    <row r="202" spans="1:17" s="12" customFormat="1" ht="15.5" x14ac:dyDescent="0.35">
      <c r="A202" s="3" t="s">
        <v>354</v>
      </c>
      <c r="B202" s="3" t="s">
        <v>161</v>
      </c>
      <c r="C202" s="5">
        <v>4</v>
      </c>
      <c r="D202" s="5">
        <v>0</v>
      </c>
      <c r="E202" s="8">
        <v>174</v>
      </c>
      <c r="F202" s="8">
        <v>4788</v>
      </c>
      <c r="G202" s="5">
        <f t="shared" si="9"/>
        <v>3.6340852130325813E-2</v>
      </c>
      <c r="H202" s="8">
        <v>831</v>
      </c>
      <c r="I202" s="8">
        <v>59</v>
      </c>
      <c r="J202" s="8">
        <v>12128</v>
      </c>
      <c r="K202" s="5">
        <f t="shared" si="10"/>
        <v>6.9701149425287356</v>
      </c>
      <c r="L202" s="5">
        <v>3.3699709677419398</v>
      </c>
      <c r="M202" s="5">
        <v>17.631334800000001</v>
      </c>
      <c r="N202" s="5">
        <v>8.4177467999999998</v>
      </c>
      <c r="O202" s="5">
        <f t="shared" si="11"/>
        <v>0.52256894356064298</v>
      </c>
      <c r="P202" s="5">
        <v>0.27154021935483902</v>
      </c>
      <c r="Q202" s="5">
        <v>0.29182157419354798</v>
      </c>
    </row>
    <row r="203" spans="1:17" ht="15.5" x14ac:dyDescent="0.35">
      <c r="A203" s="3" t="s">
        <v>354</v>
      </c>
      <c r="B203" s="3" t="s">
        <v>162</v>
      </c>
      <c r="C203" s="5">
        <v>9</v>
      </c>
      <c r="D203" s="5">
        <v>0</v>
      </c>
      <c r="E203" s="8">
        <v>289</v>
      </c>
      <c r="F203" s="8">
        <v>12985</v>
      </c>
      <c r="G203" s="5">
        <f t="shared" si="9"/>
        <v>2.2256449749711204E-2</v>
      </c>
      <c r="H203" s="8">
        <v>640</v>
      </c>
      <c r="I203" s="8">
        <v>65</v>
      </c>
      <c r="J203" s="8">
        <v>12088</v>
      </c>
      <c r="K203" s="5">
        <f t="shared" si="10"/>
        <v>4.1826989619377164</v>
      </c>
      <c r="L203" s="5">
        <v>3.3995677419354799</v>
      </c>
      <c r="M203" s="5">
        <v>23.691528000000002</v>
      </c>
      <c r="N203" s="5">
        <v>11.140707600000001</v>
      </c>
      <c r="O203" s="5">
        <f t="shared" si="11"/>
        <v>0.52975985339569487</v>
      </c>
      <c r="P203" s="5">
        <v>0.35937766451612901</v>
      </c>
      <c r="Q203" s="5">
        <v>0.37381552258064499</v>
      </c>
    </row>
    <row r="204" spans="1:17" ht="15.5" x14ac:dyDescent="0.35">
      <c r="A204" s="3" t="s">
        <v>354</v>
      </c>
      <c r="B204" s="3" t="s">
        <v>163</v>
      </c>
      <c r="C204" s="5">
        <v>18</v>
      </c>
      <c r="D204" s="5">
        <v>1</v>
      </c>
      <c r="E204" s="8">
        <v>293</v>
      </c>
      <c r="F204" s="8">
        <v>10048</v>
      </c>
      <c r="G204" s="5">
        <f t="shared" si="9"/>
        <v>2.9160031847133758E-2</v>
      </c>
      <c r="H204" s="8">
        <v>1073</v>
      </c>
      <c r="I204" s="8">
        <v>76</v>
      </c>
      <c r="J204" s="8">
        <v>15529</v>
      </c>
      <c r="K204" s="5">
        <f t="shared" si="10"/>
        <v>5.3</v>
      </c>
      <c r="L204" s="5">
        <v>3.2562516129032302</v>
      </c>
      <c r="M204" s="5">
        <v>26.0511552</v>
      </c>
      <c r="N204" s="5">
        <v>12.693996</v>
      </c>
      <c r="O204" s="5">
        <f t="shared" si="11"/>
        <v>0.5127280958350745</v>
      </c>
      <c r="P204" s="5">
        <v>0.40948374193548398</v>
      </c>
      <c r="Q204" s="5">
        <v>0.42277087741935498</v>
      </c>
    </row>
    <row r="205" spans="1:17" ht="15.5" x14ac:dyDescent="0.35">
      <c r="A205" s="3" t="s">
        <v>354</v>
      </c>
      <c r="B205" s="3" t="s">
        <v>164</v>
      </c>
      <c r="C205" s="5">
        <v>12</v>
      </c>
      <c r="D205" s="5">
        <v>0</v>
      </c>
      <c r="E205" s="8">
        <v>184</v>
      </c>
      <c r="F205" s="8">
        <v>10327</v>
      </c>
      <c r="G205" s="5">
        <f t="shared" si="9"/>
        <v>1.7817371937639197E-2</v>
      </c>
      <c r="H205" s="8">
        <v>488</v>
      </c>
      <c r="I205" s="8">
        <v>50</v>
      </c>
      <c r="J205" s="8">
        <v>10001</v>
      </c>
      <c r="K205" s="5">
        <f t="shared" si="10"/>
        <v>5.4353260869565219</v>
      </c>
      <c r="L205" s="5">
        <v>3.2369774193548402</v>
      </c>
      <c r="M205" s="5">
        <v>12.6447804</v>
      </c>
      <c r="N205" s="5">
        <v>5.8920696000000001</v>
      </c>
      <c r="O205" s="5">
        <f t="shared" si="11"/>
        <v>0.53403148068905959</v>
      </c>
      <c r="P205" s="5">
        <v>0.19006676129032299</v>
      </c>
      <c r="Q205" s="5">
        <v>0.192633677419355</v>
      </c>
    </row>
    <row r="206" spans="1:17" ht="15.5" x14ac:dyDescent="0.35">
      <c r="A206" s="3" t="s">
        <v>354</v>
      </c>
      <c r="B206" s="3" t="s">
        <v>165</v>
      </c>
      <c r="C206" s="5">
        <v>8</v>
      </c>
      <c r="D206" s="5">
        <v>1</v>
      </c>
      <c r="E206" s="8">
        <v>340</v>
      </c>
      <c r="F206" s="8">
        <v>9263</v>
      </c>
      <c r="G206" s="5">
        <f t="shared" si="9"/>
        <v>3.670517111087121E-2</v>
      </c>
      <c r="H206" s="8">
        <v>1745</v>
      </c>
      <c r="I206" s="8">
        <v>105</v>
      </c>
      <c r="J206" s="8">
        <v>18937</v>
      </c>
      <c r="K206" s="5">
        <f t="shared" si="10"/>
        <v>5.5697058823529408</v>
      </c>
      <c r="L206" s="5">
        <v>3.2681741935483899</v>
      </c>
      <c r="M206" s="5">
        <v>30.090042</v>
      </c>
      <c r="N206" s="5">
        <v>13.6894536</v>
      </c>
      <c r="O206" s="5">
        <f t="shared" si="11"/>
        <v>0.54505036583199185</v>
      </c>
      <c r="P206" s="5">
        <v>0.441595277419355</v>
      </c>
      <c r="Q206" s="5">
        <v>0.43830092903225798</v>
      </c>
    </row>
    <row r="207" spans="1:17" ht="15.5" x14ac:dyDescent="0.35">
      <c r="A207" s="3" t="s">
        <v>357</v>
      </c>
      <c r="B207" s="3" t="s">
        <v>123</v>
      </c>
      <c r="C207" s="5">
        <v>15</v>
      </c>
      <c r="D207" s="5">
        <v>1</v>
      </c>
      <c r="E207" s="8">
        <v>269</v>
      </c>
      <c r="F207" s="8">
        <v>54456</v>
      </c>
      <c r="G207" s="5">
        <f t="shared" si="9"/>
        <v>4.9397678859997062E-3</v>
      </c>
      <c r="H207" s="8">
        <v>808</v>
      </c>
      <c r="I207" s="8">
        <v>48</v>
      </c>
      <c r="J207" s="8">
        <v>7838</v>
      </c>
      <c r="K207" s="5">
        <f t="shared" si="10"/>
        <v>2.913754646840149</v>
      </c>
      <c r="L207" s="5">
        <v>3.7704709677419399</v>
      </c>
      <c r="M207" s="5">
        <v>25.289981999999998</v>
      </c>
      <c r="N207" s="5">
        <v>10.5473988</v>
      </c>
      <c r="O207" s="5">
        <f t="shared" si="11"/>
        <v>0.58294162486948387</v>
      </c>
      <c r="P207" s="5">
        <v>0.34023867096774202</v>
      </c>
      <c r="Q207" s="5">
        <v>0.35869726451612899</v>
      </c>
    </row>
    <row r="208" spans="1:17" ht="15.5" x14ac:dyDescent="0.35">
      <c r="A208" s="3" t="s">
        <v>357</v>
      </c>
      <c r="B208" s="3" t="s">
        <v>124</v>
      </c>
      <c r="C208" s="5">
        <v>3</v>
      </c>
      <c r="D208" s="5">
        <v>1</v>
      </c>
      <c r="E208" s="8">
        <v>44</v>
      </c>
      <c r="F208" s="8">
        <v>1754</v>
      </c>
      <c r="G208" s="5">
        <f t="shared" si="9"/>
        <v>2.5085518814139111E-2</v>
      </c>
      <c r="H208" s="8">
        <v>551</v>
      </c>
      <c r="I208" s="8">
        <v>27</v>
      </c>
      <c r="J208" s="8">
        <v>3089</v>
      </c>
      <c r="K208" s="5">
        <f t="shared" si="10"/>
        <v>7.0204545454545455</v>
      </c>
      <c r="L208" s="5">
        <v>3.1375354838709701</v>
      </c>
      <c r="M208" s="5">
        <v>10.671588</v>
      </c>
      <c r="N208" s="5">
        <v>4.0188636000000004</v>
      </c>
      <c r="O208" s="5">
        <f t="shared" si="11"/>
        <v>0.6234052888848407</v>
      </c>
      <c r="P208" s="5">
        <v>0.12964076129032301</v>
      </c>
      <c r="Q208" s="5">
        <v>0.129063832258065</v>
      </c>
    </row>
    <row r="209" spans="1:17" ht="15.5" x14ac:dyDescent="0.35">
      <c r="A209" s="13" t="s">
        <v>357</v>
      </c>
      <c r="B209" s="13" t="s">
        <v>125</v>
      </c>
      <c r="C209" s="14">
        <v>18</v>
      </c>
      <c r="D209" s="14">
        <v>2</v>
      </c>
      <c r="E209" s="15">
        <v>163</v>
      </c>
      <c r="F209" s="15">
        <v>55131</v>
      </c>
      <c r="G209" s="14">
        <f t="shared" si="9"/>
        <v>2.956594293591627E-3</v>
      </c>
      <c r="H209" s="15">
        <v>544</v>
      </c>
      <c r="I209" s="15">
        <v>123</v>
      </c>
      <c r="J209" s="15">
        <v>9547</v>
      </c>
      <c r="K209" s="14">
        <f t="shared" si="10"/>
        <v>5.8570552147239257</v>
      </c>
      <c r="L209" s="14">
        <v>3.3287870967741902</v>
      </c>
      <c r="M209" s="14">
        <v>11.0407536</v>
      </c>
      <c r="N209" s="14">
        <v>3.8744892000000002</v>
      </c>
      <c r="O209" s="14">
        <f t="shared" si="11"/>
        <v>0.6490738458287848</v>
      </c>
      <c r="P209" s="14">
        <v>0.124983522580645</v>
      </c>
      <c r="Q209" s="14">
        <v>0.120136064516129</v>
      </c>
    </row>
    <row r="210" spans="1:17" ht="15.5" x14ac:dyDescent="0.35">
      <c r="A210" s="3" t="s">
        <v>357</v>
      </c>
      <c r="B210" s="3" t="s">
        <v>126</v>
      </c>
      <c r="C210" s="5">
        <v>5</v>
      </c>
      <c r="D210" s="5">
        <v>1</v>
      </c>
      <c r="E210" s="8">
        <v>225</v>
      </c>
      <c r="F210" s="8">
        <v>27768</v>
      </c>
      <c r="G210" s="5">
        <f t="shared" si="9"/>
        <v>8.1028522039757987E-3</v>
      </c>
      <c r="H210" s="8">
        <v>2714</v>
      </c>
      <c r="I210" s="8">
        <v>103</v>
      </c>
      <c r="J210" s="8">
        <v>16998</v>
      </c>
      <c r="K210" s="5">
        <f t="shared" si="10"/>
        <v>7.5546666666666669</v>
      </c>
      <c r="L210" s="5">
        <v>3.2170129032258101</v>
      </c>
      <c r="M210" s="5">
        <v>28.492300799999999</v>
      </c>
      <c r="N210" s="5">
        <v>10.7487648</v>
      </c>
      <c r="O210" s="5">
        <f t="shared" si="11"/>
        <v>0.6227484443797533</v>
      </c>
      <c r="P210" s="5">
        <v>0.34673434838709699</v>
      </c>
      <c r="Q210" s="5">
        <v>0.34511016774193498</v>
      </c>
    </row>
    <row r="211" spans="1:17" ht="15.5" x14ac:dyDescent="0.35">
      <c r="A211" s="3" t="s">
        <v>357</v>
      </c>
      <c r="B211" s="3" t="s">
        <v>127</v>
      </c>
      <c r="C211" s="5">
        <v>37</v>
      </c>
      <c r="D211" s="5">
        <v>3</v>
      </c>
      <c r="E211" s="8">
        <v>255</v>
      </c>
      <c r="F211" s="8">
        <v>261570</v>
      </c>
      <c r="G211" s="5">
        <f t="shared" si="9"/>
        <v>9.7488244064686312E-4</v>
      </c>
      <c r="H211" s="8">
        <v>1193</v>
      </c>
      <c r="I211" s="8">
        <v>201</v>
      </c>
      <c r="J211" s="8">
        <v>12584</v>
      </c>
      <c r="K211" s="5">
        <f t="shared" si="10"/>
        <v>4.9349019607843134</v>
      </c>
      <c r="L211" s="5">
        <v>3.0339580645161299</v>
      </c>
      <c r="M211" s="5">
        <v>12.6284508</v>
      </c>
      <c r="N211" s="5">
        <v>4.2521111999999999</v>
      </c>
      <c r="O211" s="5">
        <f t="shared" si="11"/>
        <v>0.66329114573578574</v>
      </c>
      <c r="P211" s="5">
        <v>0.13716487741935501</v>
      </c>
      <c r="Q211" s="5">
        <v>0.12526885161290299</v>
      </c>
    </row>
    <row r="212" spans="1:17" ht="15.5" x14ac:dyDescent="0.35">
      <c r="A212" s="3" t="s">
        <v>357</v>
      </c>
      <c r="B212" s="3" t="s">
        <v>128</v>
      </c>
      <c r="C212" s="5">
        <v>4</v>
      </c>
      <c r="D212" s="5">
        <v>1</v>
      </c>
      <c r="E212" s="8">
        <v>249</v>
      </c>
      <c r="F212" s="8">
        <v>17186</v>
      </c>
      <c r="G212" s="5">
        <f t="shared" si="9"/>
        <v>1.4488537181426743E-2</v>
      </c>
      <c r="H212" s="8">
        <v>2791</v>
      </c>
      <c r="I212" s="8">
        <v>106</v>
      </c>
      <c r="J212" s="8">
        <v>18537</v>
      </c>
      <c r="K212" s="5">
        <f t="shared" si="10"/>
        <v>7.4445783132530128</v>
      </c>
      <c r="L212" s="5">
        <v>2.41505483870968</v>
      </c>
      <c r="M212" s="5">
        <v>40.862005199999999</v>
      </c>
      <c r="N212" s="5">
        <v>15.873537600000001</v>
      </c>
      <c r="O212" s="5">
        <f t="shared" si="11"/>
        <v>0.61153307278224323</v>
      </c>
      <c r="P212" s="5">
        <v>0.51204959999999999</v>
      </c>
      <c r="Q212" s="5">
        <v>0.49655612903225799</v>
      </c>
    </row>
    <row r="213" spans="1:17" ht="15.5" x14ac:dyDescent="0.35">
      <c r="A213" s="3" t="s">
        <v>357</v>
      </c>
      <c r="B213" s="3" t="s">
        <v>129</v>
      </c>
      <c r="C213" s="5">
        <v>10</v>
      </c>
      <c r="D213" s="5">
        <v>1</v>
      </c>
      <c r="E213" s="8">
        <v>174</v>
      </c>
      <c r="F213" s="8">
        <v>65140</v>
      </c>
      <c r="G213" s="5">
        <f t="shared" si="9"/>
        <v>2.671169788148603E-3</v>
      </c>
      <c r="H213" s="8">
        <v>875</v>
      </c>
      <c r="I213" s="8">
        <v>52</v>
      </c>
      <c r="J213" s="8">
        <v>7710</v>
      </c>
      <c r="K213" s="5">
        <f t="shared" si="10"/>
        <v>4.431034482758621</v>
      </c>
      <c r="L213" s="5">
        <v>3.2068516129032298</v>
      </c>
      <c r="M213" s="5">
        <v>15.5509632</v>
      </c>
      <c r="N213" s="5">
        <v>5.1679620000000002</v>
      </c>
      <c r="O213" s="5">
        <f t="shared" si="11"/>
        <v>0.6676757617174478</v>
      </c>
      <c r="P213" s="5">
        <v>0.16670845161290301</v>
      </c>
      <c r="Q213" s="5">
        <v>0.16685895483870999</v>
      </c>
    </row>
    <row r="214" spans="1:17" ht="15.5" x14ac:dyDescent="0.35">
      <c r="A214" s="3" t="s">
        <v>357</v>
      </c>
      <c r="B214" s="3" t="s">
        <v>130</v>
      </c>
      <c r="C214" s="5">
        <v>20</v>
      </c>
      <c r="D214" s="5">
        <v>1</v>
      </c>
      <c r="E214" s="8">
        <v>460</v>
      </c>
      <c r="F214" s="8">
        <v>90021</v>
      </c>
      <c r="G214" s="5">
        <f t="shared" si="9"/>
        <v>5.1099187967252081E-3</v>
      </c>
      <c r="H214" s="8">
        <v>1708</v>
      </c>
      <c r="I214" s="8">
        <v>106</v>
      </c>
      <c r="J214" s="8">
        <v>23693</v>
      </c>
      <c r="K214" s="5">
        <f t="shared" si="10"/>
        <v>5.1506521739130431</v>
      </c>
      <c r="L214" s="5">
        <v>2.8965161290322601</v>
      </c>
      <c r="M214" s="5">
        <v>21.955795200000001</v>
      </c>
      <c r="N214" s="5">
        <v>9.4728203999999998</v>
      </c>
      <c r="O214" s="5">
        <f t="shared" si="11"/>
        <v>0.56855033881897388</v>
      </c>
      <c r="P214" s="5">
        <v>0.30557485161290299</v>
      </c>
      <c r="Q214" s="5">
        <v>0.30630750967741899</v>
      </c>
    </row>
    <row r="215" spans="1:17" ht="15.5" x14ac:dyDescent="0.35">
      <c r="A215" s="3" t="s">
        <v>357</v>
      </c>
      <c r="B215" s="3" t="s">
        <v>131</v>
      </c>
      <c r="C215" s="5">
        <v>24</v>
      </c>
      <c r="D215" s="5">
        <v>2</v>
      </c>
      <c r="E215" s="8">
        <v>317</v>
      </c>
      <c r="F215" s="8">
        <v>59629</v>
      </c>
      <c r="G215" s="5">
        <f t="shared" si="9"/>
        <v>5.3162052021667313E-3</v>
      </c>
      <c r="H215" s="8">
        <v>1267</v>
      </c>
      <c r="I215" s="8">
        <v>85</v>
      </c>
      <c r="J215" s="8">
        <v>14766</v>
      </c>
      <c r="K215" s="5">
        <f t="shared" si="10"/>
        <v>4.6580441640378547</v>
      </c>
      <c r="L215" s="5">
        <v>3.1756129032258098</v>
      </c>
      <c r="M215" s="5">
        <v>19.741676399999999</v>
      </c>
      <c r="N215" s="5">
        <v>7.3644876000000004</v>
      </c>
      <c r="O215" s="5">
        <f t="shared" si="11"/>
        <v>0.62695733377536267</v>
      </c>
      <c r="P215" s="5">
        <v>0.237564116129032</v>
      </c>
      <c r="Q215" s="5">
        <v>0.23338242580645199</v>
      </c>
    </row>
    <row r="216" spans="1:17" ht="15.5" x14ac:dyDescent="0.35">
      <c r="A216" s="3" t="s">
        <v>357</v>
      </c>
      <c r="B216" s="3" t="s">
        <v>132</v>
      </c>
      <c r="C216" s="5">
        <v>8</v>
      </c>
      <c r="D216" s="5">
        <v>1</v>
      </c>
      <c r="E216" s="8">
        <v>164</v>
      </c>
      <c r="F216" s="8">
        <v>86882</v>
      </c>
      <c r="G216" s="5">
        <f t="shared" si="9"/>
        <v>1.8876176883589235E-3</v>
      </c>
      <c r="H216" s="8">
        <v>3605</v>
      </c>
      <c r="I216" s="8">
        <v>95</v>
      </c>
      <c r="J216" s="8">
        <v>10593</v>
      </c>
      <c r="K216" s="5">
        <f t="shared" si="10"/>
        <v>6.4591463414634145</v>
      </c>
      <c r="L216" s="5">
        <v>3.1427677419354798</v>
      </c>
      <c r="M216" s="5">
        <v>35.717922000000002</v>
      </c>
      <c r="N216" s="5">
        <v>12.6141948</v>
      </c>
      <c r="O216" s="5">
        <f t="shared" si="11"/>
        <v>0.64683850309096935</v>
      </c>
      <c r="P216" s="5">
        <v>0.40690950967741901</v>
      </c>
      <c r="Q216" s="5">
        <v>0.405992903225806</v>
      </c>
    </row>
    <row r="217" spans="1:17" ht="15.5" x14ac:dyDescent="0.35">
      <c r="A217" s="13" t="s">
        <v>357</v>
      </c>
      <c r="B217" s="13" t="s">
        <v>133</v>
      </c>
      <c r="C217" s="14">
        <v>7</v>
      </c>
      <c r="D217" s="14">
        <v>2</v>
      </c>
      <c r="E217" s="15">
        <v>104</v>
      </c>
      <c r="F217" s="15">
        <f>19.99*10000</f>
        <v>199899.99999999997</v>
      </c>
      <c r="G217" s="14">
        <f t="shared" si="9"/>
        <v>5.2026013006503257E-4</v>
      </c>
      <c r="H217" s="15">
        <v>799</v>
      </c>
      <c r="I217" s="15">
        <v>46</v>
      </c>
      <c r="J217" s="15">
        <v>4998</v>
      </c>
      <c r="K217" s="14">
        <f t="shared" si="10"/>
        <v>4.805769230769231</v>
      </c>
      <c r="L217" s="14">
        <v>2.9487870967741898</v>
      </c>
      <c r="M217" s="14">
        <v>10.804589999999999</v>
      </c>
      <c r="N217" s="14">
        <v>3.8820383999999999</v>
      </c>
      <c r="O217" s="14">
        <f t="shared" si="11"/>
        <v>0.64070470050228656</v>
      </c>
      <c r="P217" s="14">
        <v>0.12522704516128999</v>
      </c>
      <c r="Q217" s="14">
        <v>0.12982575483871001</v>
      </c>
    </row>
    <row r="218" spans="1:17" ht="15.5" x14ac:dyDescent="0.35">
      <c r="A218" s="3" t="s">
        <v>356</v>
      </c>
      <c r="B218" s="3" t="s">
        <v>134</v>
      </c>
      <c r="C218" s="5">
        <v>15</v>
      </c>
      <c r="D218" s="5">
        <v>1</v>
      </c>
      <c r="E218" s="8">
        <v>122</v>
      </c>
      <c r="F218" s="8">
        <v>17562</v>
      </c>
      <c r="G218" s="5">
        <f t="shared" si="9"/>
        <v>6.9468169912310675E-3</v>
      </c>
      <c r="H218" s="8">
        <v>438</v>
      </c>
      <c r="I218" s="8">
        <v>29</v>
      </c>
      <c r="J218" s="8">
        <v>4174</v>
      </c>
      <c r="K218" s="5">
        <f t="shared" si="10"/>
        <v>3.4213114754098357</v>
      </c>
      <c r="L218" s="5">
        <v>3.27570322580645</v>
      </c>
      <c r="M218" s="5">
        <v>14.715172799999999</v>
      </c>
      <c r="N218" s="5">
        <v>5.5765908</v>
      </c>
      <c r="O218" s="5">
        <f t="shared" si="11"/>
        <v>0.62103123926618109</v>
      </c>
      <c r="P218" s="5">
        <v>0.179890025806452</v>
      </c>
      <c r="Q218" s="5">
        <v>0.19587576774193499</v>
      </c>
    </row>
    <row r="219" spans="1:17" ht="15.5" x14ac:dyDescent="0.35">
      <c r="A219" s="3" t="s">
        <v>356</v>
      </c>
      <c r="B219" s="3" t="s">
        <v>135</v>
      </c>
      <c r="C219" s="5">
        <v>11</v>
      </c>
      <c r="D219" s="5">
        <v>0</v>
      </c>
      <c r="E219" s="8">
        <v>143</v>
      </c>
      <c r="F219" s="8">
        <v>16758</v>
      </c>
      <c r="G219" s="5">
        <f t="shared" si="9"/>
        <v>8.5332378565461265E-3</v>
      </c>
      <c r="H219" s="8">
        <v>580</v>
      </c>
      <c r="I219" s="8">
        <v>50</v>
      </c>
      <c r="J219" s="8">
        <v>5617</v>
      </c>
      <c r="K219" s="5">
        <f t="shared" si="10"/>
        <v>3.9279720279720283</v>
      </c>
      <c r="L219" s="5">
        <v>2.95538387096774</v>
      </c>
      <c r="M219" s="5">
        <v>22.032550799999999</v>
      </c>
      <c r="N219" s="5">
        <v>8.2839995999999996</v>
      </c>
      <c r="O219" s="5">
        <f t="shared" si="11"/>
        <v>0.6240108703164774</v>
      </c>
      <c r="P219" s="5">
        <v>0.26722579354838699</v>
      </c>
      <c r="Q219" s="5">
        <v>0.27450116129032298</v>
      </c>
    </row>
    <row r="220" spans="1:17" ht="15.5" x14ac:dyDescent="0.35">
      <c r="A220" s="3" t="s">
        <v>356</v>
      </c>
      <c r="B220" s="3" t="s">
        <v>136</v>
      </c>
      <c r="C220" s="5">
        <v>9</v>
      </c>
      <c r="D220" s="5">
        <v>1</v>
      </c>
      <c r="E220" s="8">
        <v>147</v>
      </c>
      <c r="F220" s="8">
        <v>10523</v>
      </c>
      <c r="G220" s="5">
        <f t="shared" si="9"/>
        <v>1.3969400361113752E-2</v>
      </c>
      <c r="H220" s="8">
        <v>323</v>
      </c>
      <c r="I220" s="8">
        <v>11</v>
      </c>
      <c r="J220" s="8">
        <v>4626</v>
      </c>
      <c r="K220" s="5">
        <f t="shared" si="10"/>
        <v>3.1469387755102041</v>
      </c>
      <c r="L220" s="5">
        <v>3.4177451612903198</v>
      </c>
      <c r="M220" s="5">
        <v>12.160465200000001</v>
      </c>
      <c r="N220" s="5">
        <v>4.4889552000000004</v>
      </c>
      <c r="O220" s="5">
        <f t="shared" si="11"/>
        <v>0.63085662216277716</v>
      </c>
      <c r="P220" s="5">
        <v>0.14480500645161301</v>
      </c>
      <c r="Q220" s="5">
        <v>0.15636449032258101</v>
      </c>
    </row>
    <row r="221" spans="1:17" ht="15.5" x14ac:dyDescent="0.35">
      <c r="A221" s="3" t="s">
        <v>356</v>
      </c>
      <c r="B221" s="3" t="s">
        <v>137</v>
      </c>
      <c r="C221" s="5">
        <v>9</v>
      </c>
      <c r="D221" s="5">
        <v>0</v>
      </c>
      <c r="E221" s="8">
        <v>75</v>
      </c>
      <c r="F221" s="8">
        <v>5310</v>
      </c>
      <c r="G221" s="5">
        <f t="shared" si="9"/>
        <v>1.4124293785310734E-2</v>
      </c>
      <c r="H221" s="8">
        <v>511</v>
      </c>
      <c r="I221" s="8">
        <v>58</v>
      </c>
      <c r="J221" s="8">
        <v>4526</v>
      </c>
      <c r="K221" s="5">
        <f t="shared" si="10"/>
        <v>6.0346666666666664</v>
      </c>
      <c r="L221" s="5">
        <v>3.3950935483870999</v>
      </c>
      <c r="M221" s="5">
        <v>12.241108799999999</v>
      </c>
      <c r="N221" s="5">
        <v>4.5776016000000004</v>
      </c>
      <c r="O221" s="5">
        <f t="shared" si="11"/>
        <v>0.62604681693540698</v>
      </c>
      <c r="P221" s="5">
        <v>0.14766456774193501</v>
      </c>
      <c r="Q221" s="5">
        <v>0.15504967741935499</v>
      </c>
    </row>
    <row r="222" spans="1:17" ht="15.5" x14ac:dyDescent="0.35">
      <c r="A222" s="3" t="s">
        <v>356</v>
      </c>
      <c r="B222" s="3" t="s">
        <v>138</v>
      </c>
      <c r="C222" s="5">
        <v>6</v>
      </c>
      <c r="D222" s="5">
        <v>1</v>
      </c>
      <c r="E222" s="8">
        <v>200</v>
      </c>
      <c r="F222" s="8">
        <v>9025</v>
      </c>
      <c r="G222" s="5">
        <f t="shared" si="9"/>
        <v>2.2160664819944598E-2</v>
      </c>
      <c r="H222" s="8">
        <v>1897</v>
      </c>
      <c r="I222" s="8">
        <v>76</v>
      </c>
      <c r="J222" s="8">
        <v>16125</v>
      </c>
      <c r="K222" s="5">
        <f t="shared" si="10"/>
        <v>8.0625</v>
      </c>
      <c r="L222" s="5">
        <v>2.4031612903225801</v>
      </c>
      <c r="M222" s="5">
        <v>42.063008400000001</v>
      </c>
      <c r="N222" s="5">
        <v>17.311255200000002</v>
      </c>
      <c r="O222" s="5">
        <f t="shared" si="11"/>
        <v>0.58844467244525478</v>
      </c>
      <c r="P222" s="5">
        <v>0.55842758709677398</v>
      </c>
      <c r="Q222" s="5">
        <v>0.51557806451612898</v>
      </c>
    </row>
    <row r="223" spans="1:17" ht="15.5" x14ac:dyDescent="0.35">
      <c r="A223" s="3" t="s">
        <v>72</v>
      </c>
      <c r="B223" s="3" t="s">
        <v>73</v>
      </c>
      <c r="C223" s="5">
        <v>3</v>
      </c>
      <c r="D223" s="5">
        <v>0</v>
      </c>
      <c r="E223" s="8">
        <v>209</v>
      </c>
      <c r="F223" s="8">
        <v>7607</v>
      </c>
      <c r="G223" s="5">
        <f t="shared" si="9"/>
        <v>2.7474694360457474E-2</v>
      </c>
      <c r="H223" s="8">
        <v>1328</v>
      </c>
      <c r="I223" s="8">
        <v>77</v>
      </c>
      <c r="J223" s="8">
        <v>20206</v>
      </c>
      <c r="K223" s="5">
        <f t="shared" si="10"/>
        <v>9.6679425837320583</v>
      </c>
      <c r="L223" s="5">
        <v>2.32815161290323</v>
      </c>
      <c r="M223" s="5">
        <v>31.302612</v>
      </c>
      <c r="N223" s="5">
        <v>13.2243192</v>
      </c>
      <c r="O223" s="5">
        <f t="shared" si="11"/>
        <v>0.57753304420730123</v>
      </c>
      <c r="P223" s="5">
        <v>0.42659094193548402</v>
      </c>
      <c r="Q223" s="5">
        <v>0.37938414193548398</v>
      </c>
    </row>
    <row r="224" spans="1:17" s="16" customFormat="1" ht="15.5" x14ac:dyDescent="0.35">
      <c r="A224" s="13" t="s">
        <v>72</v>
      </c>
      <c r="B224" s="13" t="s">
        <v>74</v>
      </c>
      <c r="C224" s="14">
        <v>3</v>
      </c>
      <c r="D224" s="14">
        <v>1</v>
      </c>
      <c r="E224" s="15">
        <v>30</v>
      </c>
      <c r="F224" s="15">
        <v>34068</v>
      </c>
      <c r="G224" s="14">
        <f t="shared" si="9"/>
        <v>8.8059175766114824E-4</v>
      </c>
      <c r="H224" s="15">
        <v>92</v>
      </c>
      <c r="I224" s="15">
        <v>9</v>
      </c>
      <c r="J224" s="15">
        <v>1720</v>
      </c>
      <c r="K224" s="14">
        <f t="shared" si="10"/>
        <v>5.7333333333333334</v>
      </c>
      <c r="L224" s="14">
        <v>2.6277451612903202</v>
      </c>
      <c r="M224" s="14">
        <v>3.4261379999999999</v>
      </c>
      <c r="N224" s="14">
        <v>1.1187396000000001</v>
      </c>
      <c r="O224" s="14">
        <f t="shared" si="11"/>
        <v>0.67346919476098166</v>
      </c>
      <c r="P224" s="14">
        <v>3.6088374193548399E-2</v>
      </c>
      <c r="Q224" s="14">
        <v>4.1209664516129001E-2</v>
      </c>
    </row>
    <row r="225" spans="1:17" s="16" customFormat="1" ht="15.5" x14ac:dyDescent="0.35">
      <c r="A225" s="3" t="s">
        <v>352</v>
      </c>
      <c r="B225" s="3" t="s">
        <v>175</v>
      </c>
      <c r="C225" s="5">
        <v>15</v>
      </c>
      <c r="D225" s="5">
        <v>1</v>
      </c>
      <c r="E225" s="8">
        <v>1190</v>
      </c>
      <c r="F225" s="8">
        <v>17191</v>
      </c>
      <c r="G225" s="5">
        <f t="shared" si="9"/>
        <v>6.9222267465534296E-2</v>
      </c>
      <c r="H225" s="8">
        <v>4600</v>
      </c>
      <c r="I225" s="8">
        <v>218</v>
      </c>
      <c r="J225" s="8">
        <v>47543</v>
      </c>
      <c r="K225" s="5">
        <f t="shared" si="10"/>
        <v>3.9952100840336131</v>
      </c>
      <c r="L225" s="5">
        <v>2.5269774193548402</v>
      </c>
      <c r="M225" s="5">
        <v>64.077706800000001</v>
      </c>
      <c r="N225" s="5">
        <v>24.6321972</v>
      </c>
      <c r="O225" s="5">
        <f t="shared" si="11"/>
        <v>0.61558865898740311</v>
      </c>
      <c r="P225" s="5">
        <v>0.79458700645161295</v>
      </c>
      <c r="Q225" s="5">
        <v>0.77937781935483896</v>
      </c>
    </row>
    <row r="226" spans="1:17" ht="15.5" x14ac:dyDescent="0.35">
      <c r="A226" s="3" t="s">
        <v>352</v>
      </c>
      <c r="B226" s="3" t="s">
        <v>176</v>
      </c>
      <c r="C226" s="5">
        <v>9</v>
      </c>
      <c r="D226" s="5">
        <v>1</v>
      </c>
      <c r="E226" s="8">
        <v>257</v>
      </c>
      <c r="F226" s="8">
        <v>5800</v>
      </c>
      <c r="G226" s="5">
        <f t="shared" si="9"/>
        <v>4.4310344827586209E-2</v>
      </c>
      <c r="H226" s="8">
        <v>2964</v>
      </c>
      <c r="I226" s="8">
        <v>69</v>
      </c>
      <c r="J226" s="8">
        <v>15869</v>
      </c>
      <c r="K226" s="5">
        <f t="shared" si="10"/>
        <v>6.1747081712062259</v>
      </c>
      <c r="L226" s="5">
        <v>2.51471290322581</v>
      </c>
      <c r="M226" s="5">
        <v>20.705932799999999</v>
      </c>
      <c r="N226" s="5">
        <v>8.3910491999999994</v>
      </c>
      <c r="O226" s="5">
        <f t="shared" si="11"/>
        <v>0.59475145210555302</v>
      </c>
      <c r="P226" s="5">
        <v>0.27067900645161302</v>
      </c>
      <c r="Q226" s="5">
        <v>0.26346948387096802</v>
      </c>
    </row>
    <row r="227" spans="1:17" ht="15.5" x14ac:dyDescent="0.35">
      <c r="A227" s="3" t="s">
        <v>352</v>
      </c>
      <c r="B227" s="3" t="s">
        <v>177</v>
      </c>
      <c r="C227" s="5">
        <v>10</v>
      </c>
      <c r="D227" s="5">
        <v>0</v>
      </c>
      <c r="E227" s="8">
        <v>599</v>
      </c>
      <c r="F227" s="8">
        <v>10358</v>
      </c>
      <c r="G227" s="5">
        <f t="shared" si="9"/>
        <v>5.7829696852674264E-2</v>
      </c>
      <c r="H227" s="8">
        <v>3022</v>
      </c>
      <c r="I227" s="8">
        <v>125</v>
      </c>
      <c r="J227" s="8">
        <v>19206</v>
      </c>
      <c r="K227" s="5">
        <f t="shared" si="10"/>
        <v>3.2063439065108517</v>
      </c>
      <c r="L227" s="5">
        <v>2.9085935483870999</v>
      </c>
      <c r="M227" s="5">
        <v>49.904359200000002</v>
      </c>
      <c r="N227" s="5">
        <v>19.872604800000001</v>
      </c>
      <c r="O227" s="5">
        <f t="shared" si="11"/>
        <v>0.60178619426096147</v>
      </c>
      <c r="P227" s="5">
        <v>0.64105176774193595</v>
      </c>
      <c r="Q227" s="5">
        <v>0.67997775483871004</v>
      </c>
    </row>
    <row r="228" spans="1:17" ht="15.5" x14ac:dyDescent="0.35">
      <c r="A228" s="3" t="s">
        <v>352</v>
      </c>
      <c r="B228" s="3" t="s">
        <v>178</v>
      </c>
      <c r="C228" s="5">
        <v>5</v>
      </c>
      <c r="D228" s="5">
        <v>1</v>
      </c>
      <c r="E228" s="8">
        <v>308</v>
      </c>
      <c r="F228" s="8">
        <v>5371</v>
      </c>
      <c r="G228" s="5">
        <f t="shared" si="9"/>
        <v>5.7345000930925337E-2</v>
      </c>
      <c r="H228" s="8">
        <v>1949</v>
      </c>
      <c r="I228" s="8">
        <v>62</v>
      </c>
      <c r="J228" s="8">
        <v>11048</v>
      </c>
      <c r="K228" s="5">
        <f t="shared" si="10"/>
        <v>3.587012987012987</v>
      </c>
      <c r="L228" s="5">
        <v>2.7963225806451599</v>
      </c>
      <c r="M228" s="5">
        <v>23.048485199999998</v>
      </c>
      <c r="N228" s="5">
        <v>9.5810364000000003</v>
      </c>
      <c r="O228" s="5">
        <f t="shared" si="11"/>
        <v>0.58430949726795922</v>
      </c>
      <c r="P228" s="5">
        <v>0.30906569032258102</v>
      </c>
      <c r="Q228" s="5">
        <v>0.31684169032258103</v>
      </c>
    </row>
    <row r="229" spans="1:17" ht="15.5" x14ac:dyDescent="0.35">
      <c r="A229" s="3" t="s">
        <v>352</v>
      </c>
      <c r="B229" s="3" t="s">
        <v>179</v>
      </c>
      <c r="C229" s="5">
        <v>5</v>
      </c>
      <c r="D229" s="5">
        <v>0</v>
      </c>
      <c r="E229" s="8">
        <v>424</v>
      </c>
      <c r="F229" s="8">
        <v>4564</v>
      </c>
      <c r="G229" s="5">
        <f t="shared" si="9"/>
        <v>9.2900964066608235E-2</v>
      </c>
      <c r="H229" s="8">
        <v>1694</v>
      </c>
      <c r="I229" s="8">
        <v>81</v>
      </c>
      <c r="J229" s="8">
        <v>18313</v>
      </c>
      <c r="K229" s="5">
        <f t="shared" si="10"/>
        <v>4.3191037735849056</v>
      </c>
      <c r="L229" s="5">
        <v>3.06684516129032</v>
      </c>
      <c r="M229" s="5">
        <v>31.222324799999999</v>
      </c>
      <c r="N229" s="5">
        <v>11.7873144</v>
      </c>
      <c r="O229" s="5">
        <f t="shared" si="11"/>
        <v>0.62247159763067994</v>
      </c>
      <c r="P229" s="5">
        <v>0.38023594838709701</v>
      </c>
      <c r="Q229" s="5">
        <v>0.37437886451612901</v>
      </c>
    </row>
    <row r="230" spans="1:17" ht="15.5" x14ac:dyDescent="0.35">
      <c r="A230" s="3" t="s">
        <v>352</v>
      </c>
      <c r="B230" s="3" t="s">
        <v>180</v>
      </c>
      <c r="C230" s="5">
        <v>6</v>
      </c>
      <c r="D230" s="5">
        <v>0</v>
      </c>
      <c r="E230" s="8">
        <v>573</v>
      </c>
      <c r="F230" s="8">
        <v>7762</v>
      </c>
      <c r="G230" s="5">
        <f t="shared" si="9"/>
        <v>7.3821180108219531E-2</v>
      </c>
      <c r="H230" s="8">
        <v>2664</v>
      </c>
      <c r="I230" s="8">
        <v>110</v>
      </c>
      <c r="J230" s="8">
        <v>25742</v>
      </c>
      <c r="K230" s="5">
        <f t="shared" si="10"/>
        <v>4.492495636998254</v>
      </c>
      <c r="L230" s="5">
        <v>2.4964516129032299</v>
      </c>
      <c r="M230" s="5">
        <v>40.1252292</v>
      </c>
      <c r="N230" s="5">
        <v>14.5334412</v>
      </c>
      <c r="O230" s="5">
        <f t="shared" si="11"/>
        <v>0.63779792689632786</v>
      </c>
      <c r="P230" s="5">
        <v>0.46882068387096798</v>
      </c>
      <c r="Q230" s="5">
        <v>0.47833269677419399</v>
      </c>
    </row>
    <row r="231" spans="1:17" ht="15.5" x14ac:dyDescent="0.35">
      <c r="A231" s="3" t="s">
        <v>352</v>
      </c>
      <c r="B231" s="3" t="s">
        <v>181</v>
      </c>
      <c r="C231" s="5">
        <v>16</v>
      </c>
      <c r="D231" s="5">
        <v>1</v>
      </c>
      <c r="E231" s="8">
        <v>797</v>
      </c>
      <c r="F231" s="8">
        <v>10244</v>
      </c>
      <c r="G231" s="5">
        <f t="shared" si="9"/>
        <v>7.7801639984381096E-2</v>
      </c>
      <c r="H231" s="8">
        <v>9443</v>
      </c>
      <c r="I231" s="8">
        <v>289</v>
      </c>
      <c r="J231" s="8">
        <v>56315</v>
      </c>
      <c r="K231" s="5">
        <f t="shared" si="10"/>
        <v>7.0658720200752825</v>
      </c>
      <c r="L231" s="5">
        <v>2.49601612903226</v>
      </c>
      <c r="M231" s="5">
        <v>97.318292400000004</v>
      </c>
      <c r="N231" s="5">
        <v>39.282732000000003</v>
      </c>
      <c r="O231" s="5">
        <f t="shared" si="11"/>
        <v>0.59634791125866493</v>
      </c>
      <c r="P231" s="5">
        <v>1.26718490322581</v>
      </c>
      <c r="Q231" s="5">
        <v>1.2038115483870999</v>
      </c>
    </row>
    <row r="232" spans="1:17" ht="15.5" x14ac:dyDescent="0.35">
      <c r="A232" s="3" t="s">
        <v>352</v>
      </c>
      <c r="B232" s="3" t="s">
        <v>182</v>
      </c>
      <c r="C232" s="5">
        <v>13</v>
      </c>
      <c r="D232" s="5">
        <v>1</v>
      </c>
      <c r="E232" s="8">
        <v>894</v>
      </c>
      <c r="F232" s="8">
        <v>11187</v>
      </c>
      <c r="G232" s="5">
        <f t="shared" si="9"/>
        <v>7.9914186108876378E-2</v>
      </c>
      <c r="H232" s="8">
        <v>4370</v>
      </c>
      <c r="I232" s="8">
        <v>218</v>
      </c>
      <c r="J232" s="8">
        <v>40788</v>
      </c>
      <c r="K232" s="5">
        <f t="shared" si="10"/>
        <v>4.5624161073825507</v>
      </c>
      <c r="L232" s="5">
        <v>2.6496483870967702</v>
      </c>
      <c r="M232" s="5">
        <v>60.336413999999998</v>
      </c>
      <c r="N232" s="5">
        <v>22.371098400000001</v>
      </c>
      <c r="O232" s="5">
        <f t="shared" si="11"/>
        <v>0.62922724575577194</v>
      </c>
      <c r="P232" s="5">
        <v>0.72164833548387097</v>
      </c>
      <c r="Q232" s="5">
        <v>0.70872805161290298</v>
      </c>
    </row>
    <row r="233" spans="1:17" ht="15.5" x14ac:dyDescent="0.35">
      <c r="A233" s="3" t="s">
        <v>352</v>
      </c>
      <c r="B233" s="3" t="s">
        <v>183</v>
      </c>
      <c r="C233" s="5">
        <v>9</v>
      </c>
      <c r="D233" s="5">
        <v>0</v>
      </c>
      <c r="E233" s="8">
        <v>434</v>
      </c>
      <c r="F233" s="8">
        <v>5965</v>
      </c>
      <c r="G233" s="5">
        <f t="shared" si="9"/>
        <v>7.2757753562447611E-2</v>
      </c>
      <c r="H233" s="8">
        <v>3642</v>
      </c>
      <c r="I233" s="8">
        <v>157</v>
      </c>
      <c r="J233" s="8">
        <v>24202</v>
      </c>
      <c r="K233" s="5">
        <f t="shared" si="10"/>
        <v>5.5764976958525345</v>
      </c>
      <c r="L233" s="5">
        <v>2.83101612903226</v>
      </c>
      <c r="M233" s="5">
        <v>40.798727999999997</v>
      </c>
      <c r="N233" s="5">
        <v>14.524790400000001</v>
      </c>
      <c r="O233" s="5">
        <f t="shared" si="11"/>
        <v>0.64398913613189113</v>
      </c>
      <c r="P233" s="5">
        <v>0.46854162580645198</v>
      </c>
      <c r="Q233" s="5">
        <v>0.45981557419354802</v>
      </c>
    </row>
    <row r="234" spans="1:17" ht="15.5" x14ac:dyDescent="0.35">
      <c r="A234" s="3" t="s">
        <v>352</v>
      </c>
      <c r="B234" s="3" t="s">
        <v>184</v>
      </c>
      <c r="C234" s="5">
        <v>4</v>
      </c>
      <c r="D234" s="5">
        <v>0</v>
      </c>
      <c r="E234" s="8">
        <v>398</v>
      </c>
      <c r="F234" s="8">
        <v>9660</v>
      </c>
      <c r="G234" s="5">
        <f t="shared" si="9"/>
        <v>4.1200828157349899E-2</v>
      </c>
      <c r="H234" s="8">
        <v>2457</v>
      </c>
      <c r="I234" s="8">
        <v>98</v>
      </c>
      <c r="J234" s="8">
        <v>16812</v>
      </c>
      <c r="K234" s="5">
        <f t="shared" si="10"/>
        <v>4.2241206030150753</v>
      </c>
      <c r="L234" s="5">
        <v>2.9403516129032301</v>
      </c>
      <c r="M234" s="5">
        <v>34.811726399999998</v>
      </c>
      <c r="N234" s="5">
        <v>12.6117648</v>
      </c>
      <c r="O234" s="5">
        <f t="shared" si="11"/>
        <v>0.63771504305514704</v>
      </c>
      <c r="P234" s="5">
        <v>0.40683112258064502</v>
      </c>
      <c r="Q234" s="5">
        <v>0.41130127741935502</v>
      </c>
    </row>
    <row r="235" spans="1:17" ht="15.5" x14ac:dyDescent="0.35">
      <c r="A235" s="3" t="s">
        <v>352</v>
      </c>
      <c r="B235" s="3" t="s">
        <v>185</v>
      </c>
      <c r="C235" s="5">
        <v>9</v>
      </c>
      <c r="D235" s="5">
        <v>1</v>
      </c>
      <c r="E235" s="8">
        <v>918</v>
      </c>
      <c r="F235" s="8">
        <v>16143</v>
      </c>
      <c r="G235" s="5">
        <f t="shared" si="9"/>
        <v>5.6866753391562906E-2</v>
      </c>
      <c r="H235" s="8">
        <v>5689</v>
      </c>
      <c r="I235" s="8">
        <v>214</v>
      </c>
      <c r="J235" s="8">
        <v>46831</v>
      </c>
      <c r="K235" s="5">
        <f t="shared" si="10"/>
        <v>5.1014161220043572</v>
      </c>
      <c r="L235" s="5">
        <v>2.3838387096774198</v>
      </c>
      <c r="M235" s="5">
        <v>55.6625844</v>
      </c>
      <c r="N235" s="5">
        <v>22.056170399999999</v>
      </c>
      <c r="O235" s="5">
        <f t="shared" si="11"/>
        <v>0.60375231157969733</v>
      </c>
      <c r="P235" s="5">
        <v>0.71148936774193505</v>
      </c>
      <c r="Q235" s="5">
        <v>0.71124898064516096</v>
      </c>
    </row>
    <row r="236" spans="1:17" ht="15.5" x14ac:dyDescent="0.35">
      <c r="A236" s="3" t="s">
        <v>352</v>
      </c>
      <c r="B236" s="3" t="s">
        <v>186</v>
      </c>
      <c r="C236" s="5">
        <v>19</v>
      </c>
      <c r="D236" s="5">
        <v>1</v>
      </c>
      <c r="E236" s="8">
        <v>653</v>
      </c>
      <c r="F236" s="8">
        <v>13865</v>
      </c>
      <c r="G236" s="5">
        <f t="shared" si="9"/>
        <v>4.709700685178507E-2</v>
      </c>
      <c r="H236" s="8">
        <v>7653</v>
      </c>
      <c r="I236" s="8">
        <v>190</v>
      </c>
      <c r="J236" s="8">
        <v>32017</v>
      </c>
      <c r="K236" s="5">
        <f t="shared" si="10"/>
        <v>4.9030627871362942</v>
      </c>
      <c r="L236" s="5">
        <v>2.47963548387097</v>
      </c>
      <c r="M236" s="5">
        <v>43.418591999999997</v>
      </c>
      <c r="N236" s="5">
        <v>17.672029200000001</v>
      </c>
      <c r="O236" s="5">
        <f t="shared" si="11"/>
        <v>0.59298474717927285</v>
      </c>
      <c r="P236" s="5">
        <v>0.57006545806451603</v>
      </c>
      <c r="Q236" s="5">
        <v>0.53895309677419401</v>
      </c>
    </row>
    <row r="237" spans="1:17" ht="15.5" x14ac:dyDescent="0.35">
      <c r="A237" s="3" t="s">
        <v>352</v>
      </c>
      <c r="B237" s="3" t="s">
        <v>187</v>
      </c>
      <c r="C237" s="5">
        <v>8</v>
      </c>
      <c r="D237" s="5">
        <v>0</v>
      </c>
      <c r="E237" s="8">
        <v>647</v>
      </c>
      <c r="F237" s="8">
        <v>8628</v>
      </c>
      <c r="G237" s="5">
        <f t="shared" si="9"/>
        <v>7.4988409828465455E-2</v>
      </c>
      <c r="H237" s="8">
        <v>2260</v>
      </c>
      <c r="I237" s="8">
        <v>151</v>
      </c>
      <c r="J237" s="8">
        <v>25978</v>
      </c>
      <c r="K237" s="5">
        <f t="shared" si="10"/>
        <v>4.0151468315301386</v>
      </c>
      <c r="L237" s="5">
        <v>2.8153967741935499</v>
      </c>
      <c r="M237" s="5">
        <v>39.039310800000003</v>
      </c>
      <c r="N237" s="5">
        <v>16.142425200000002</v>
      </c>
      <c r="O237" s="5">
        <f t="shared" si="11"/>
        <v>0.58650844829975846</v>
      </c>
      <c r="P237" s="5">
        <v>0.52072339354838704</v>
      </c>
      <c r="Q237" s="5">
        <v>0.52835829677419399</v>
      </c>
    </row>
    <row r="238" spans="1:17" ht="15.5" x14ac:dyDescent="0.35">
      <c r="A238" s="3" t="s">
        <v>352</v>
      </c>
      <c r="B238" s="3" t="s">
        <v>188</v>
      </c>
      <c r="C238" s="5">
        <v>10</v>
      </c>
      <c r="D238" s="5">
        <v>1</v>
      </c>
      <c r="E238" s="8">
        <v>1026</v>
      </c>
      <c r="F238" s="8">
        <v>12155</v>
      </c>
      <c r="G238" s="5">
        <f t="shared" si="9"/>
        <v>8.4409707939119699E-2</v>
      </c>
      <c r="H238" s="8">
        <v>3410</v>
      </c>
      <c r="I238" s="8">
        <v>242</v>
      </c>
      <c r="J238" s="8">
        <v>37914</v>
      </c>
      <c r="K238" s="5">
        <f t="shared" si="10"/>
        <v>3.6953216374269005</v>
      </c>
      <c r="L238" s="5">
        <v>2.9028999999999998</v>
      </c>
      <c r="M238" s="5">
        <v>57.958480799999997</v>
      </c>
      <c r="N238" s="5">
        <v>23.341737599999998</v>
      </c>
      <c r="O238" s="5">
        <f t="shared" si="11"/>
        <v>0.59726795323455062</v>
      </c>
      <c r="P238" s="5">
        <v>0.75295927741935498</v>
      </c>
      <c r="Q238" s="5">
        <v>0.75460749677419403</v>
      </c>
    </row>
    <row r="239" spans="1:17" ht="15.5" x14ac:dyDescent="0.35">
      <c r="A239" s="3" t="s">
        <v>352</v>
      </c>
      <c r="B239" s="3" t="s">
        <v>189</v>
      </c>
      <c r="C239" s="5">
        <v>17</v>
      </c>
      <c r="D239" s="5">
        <v>1</v>
      </c>
      <c r="E239" s="8">
        <v>831</v>
      </c>
      <c r="F239" s="8">
        <v>11293</v>
      </c>
      <c r="G239" s="5">
        <f t="shared" si="9"/>
        <v>7.3585406889223409E-2</v>
      </c>
      <c r="H239" s="8">
        <v>11741</v>
      </c>
      <c r="I239" s="8">
        <v>427</v>
      </c>
      <c r="J239" s="8">
        <v>58492</v>
      </c>
      <c r="K239" s="5">
        <f t="shared" si="10"/>
        <v>7.0387484957882069</v>
      </c>
      <c r="L239" s="5">
        <v>2.3459483870967701</v>
      </c>
      <c r="M239" s="5">
        <v>85.705840800000004</v>
      </c>
      <c r="N239" s="5">
        <v>34.764811199999997</v>
      </c>
      <c r="O239" s="5">
        <f t="shared" si="11"/>
        <v>0.59437057176621277</v>
      </c>
      <c r="P239" s="5">
        <v>1.1214455225806499</v>
      </c>
      <c r="Q239" s="5">
        <v>1.0976315225806501</v>
      </c>
    </row>
    <row r="240" spans="1:17" ht="15.5" x14ac:dyDescent="0.35">
      <c r="A240" s="3" t="s">
        <v>343</v>
      </c>
      <c r="B240" s="3" t="s">
        <v>303</v>
      </c>
      <c r="C240" s="5">
        <v>15</v>
      </c>
      <c r="D240" s="5">
        <v>1</v>
      </c>
      <c r="E240" s="8">
        <v>431</v>
      </c>
      <c r="F240" s="8">
        <v>20275</v>
      </c>
      <c r="G240" s="5">
        <f t="shared" si="9"/>
        <v>2.12577065351418E-2</v>
      </c>
      <c r="H240" s="8">
        <v>1453</v>
      </c>
      <c r="I240" s="8">
        <v>194</v>
      </c>
      <c r="J240" s="8">
        <v>18808</v>
      </c>
      <c r="K240" s="5">
        <f t="shared" si="10"/>
        <v>4.3638051044083523</v>
      </c>
      <c r="L240" s="5">
        <v>2.96137096774194</v>
      </c>
      <c r="M240" s="5">
        <v>30.758745600000001</v>
      </c>
      <c r="N240" s="5">
        <v>10.4956236</v>
      </c>
      <c r="O240" s="5">
        <f t="shared" si="11"/>
        <v>0.6587759547645532</v>
      </c>
      <c r="P240" s="5">
        <v>0.33856850322580601</v>
      </c>
      <c r="Q240" s="5">
        <v>0.37447501935483901</v>
      </c>
    </row>
    <row r="241" spans="1:17" ht="15.5" x14ac:dyDescent="0.35">
      <c r="A241" s="3" t="s">
        <v>343</v>
      </c>
      <c r="B241" s="3" t="s">
        <v>304</v>
      </c>
      <c r="C241" s="5">
        <v>10</v>
      </c>
      <c r="D241" s="5">
        <v>1</v>
      </c>
      <c r="E241" s="8">
        <v>394</v>
      </c>
      <c r="F241" s="8">
        <v>21239</v>
      </c>
      <c r="G241" s="5">
        <f t="shared" si="9"/>
        <v>1.855077922689392E-2</v>
      </c>
      <c r="H241" s="8">
        <v>1512</v>
      </c>
      <c r="I241" s="8">
        <v>108</v>
      </c>
      <c r="J241" s="8">
        <v>10479</v>
      </c>
      <c r="K241" s="5">
        <f t="shared" si="10"/>
        <v>2.6596446700507617</v>
      </c>
      <c r="L241" s="5">
        <v>2.9075064516129001</v>
      </c>
      <c r="M241" s="5">
        <v>35.191162800000001</v>
      </c>
      <c r="N241" s="5">
        <v>11.885778</v>
      </c>
      <c r="O241" s="5">
        <f t="shared" si="11"/>
        <v>0.66225105809802909</v>
      </c>
      <c r="P241" s="5">
        <v>0.38341219354838701</v>
      </c>
      <c r="Q241" s="5">
        <v>0.42696824516129001</v>
      </c>
    </row>
    <row r="242" spans="1:17" ht="15.5" x14ac:dyDescent="0.35">
      <c r="A242" s="3" t="s">
        <v>343</v>
      </c>
      <c r="B242" s="3" t="s">
        <v>305</v>
      </c>
      <c r="C242" s="5">
        <v>13</v>
      </c>
      <c r="D242" s="5">
        <v>1</v>
      </c>
      <c r="E242" s="8">
        <v>318</v>
      </c>
      <c r="F242" s="8">
        <v>14056</v>
      </c>
      <c r="G242" s="5">
        <f t="shared" si="9"/>
        <v>2.2623790552077406E-2</v>
      </c>
      <c r="H242" s="8">
        <v>1319</v>
      </c>
      <c r="I242" s="8">
        <v>132</v>
      </c>
      <c r="J242" s="8">
        <v>18904</v>
      </c>
      <c r="K242" s="5">
        <f t="shared" si="10"/>
        <v>5.9446540880503145</v>
      </c>
      <c r="L242" s="5">
        <v>3.2061129032258102</v>
      </c>
      <c r="M242" s="5">
        <v>27.05076</v>
      </c>
      <c r="N242" s="5">
        <v>12.040974</v>
      </c>
      <c r="O242" s="5">
        <f t="shared" si="11"/>
        <v>0.5548748353096179</v>
      </c>
      <c r="P242" s="5">
        <v>0.388418516129032</v>
      </c>
      <c r="Q242" s="5">
        <v>0.36798352258064498</v>
      </c>
    </row>
    <row r="243" spans="1:17" ht="15.5" x14ac:dyDescent="0.35">
      <c r="A243" s="3" t="s">
        <v>343</v>
      </c>
      <c r="B243" s="3" t="s">
        <v>306</v>
      </c>
      <c r="C243" s="5">
        <v>8</v>
      </c>
      <c r="D243" s="5">
        <v>1</v>
      </c>
      <c r="E243" s="8">
        <v>384</v>
      </c>
      <c r="F243" s="8">
        <v>6988</v>
      </c>
      <c r="G243" s="5">
        <f t="shared" si="9"/>
        <v>5.4951345163136808E-2</v>
      </c>
      <c r="H243" s="8">
        <v>4029</v>
      </c>
      <c r="I243" s="8">
        <v>158</v>
      </c>
      <c r="J243" s="8">
        <v>38039</v>
      </c>
      <c r="K243" s="5">
        <f t="shared" si="10"/>
        <v>9.9059895833333336</v>
      </c>
      <c r="L243" s="5">
        <v>1.9034064516128999</v>
      </c>
      <c r="M243" s="5">
        <v>82.709391600000004</v>
      </c>
      <c r="N243" s="5">
        <v>32.675626800000003</v>
      </c>
      <c r="O243" s="5">
        <f t="shared" si="11"/>
        <v>0.60493450419722339</v>
      </c>
      <c r="P243" s="5">
        <v>1.05405247741935</v>
      </c>
      <c r="Q243" s="5">
        <v>0.90154463225806503</v>
      </c>
    </row>
    <row r="244" spans="1:17" ht="15.5" x14ac:dyDescent="0.35">
      <c r="A244" s="3" t="s">
        <v>343</v>
      </c>
      <c r="B244" s="3" t="s">
        <v>307</v>
      </c>
      <c r="C244" s="5">
        <v>25</v>
      </c>
      <c r="D244" s="5">
        <v>1</v>
      </c>
      <c r="E244" s="8">
        <v>307</v>
      </c>
      <c r="F244" s="8">
        <v>25236</v>
      </c>
      <c r="G244" s="5">
        <f t="shared" si="9"/>
        <v>1.2165160881280709E-2</v>
      </c>
      <c r="H244" s="8">
        <v>1002</v>
      </c>
      <c r="I244" s="8">
        <v>113</v>
      </c>
      <c r="J244" s="8">
        <v>10244</v>
      </c>
      <c r="K244" s="5">
        <f t="shared" si="10"/>
        <v>3.3368078175895768</v>
      </c>
      <c r="L244" s="5">
        <v>2.7181096774193501</v>
      </c>
      <c r="M244" s="5">
        <v>27.158619600000002</v>
      </c>
      <c r="N244" s="5">
        <v>9.3922740000000005</v>
      </c>
      <c r="O244" s="5">
        <f t="shared" si="11"/>
        <v>0.65416968394078467</v>
      </c>
      <c r="P244" s="5">
        <v>0.30297658064516098</v>
      </c>
      <c r="Q244" s="5">
        <v>0.35863455483870998</v>
      </c>
    </row>
    <row r="245" spans="1:17" ht="15.5" x14ac:dyDescent="0.35">
      <c r="A245" s="3" t="s">
        <v>343</v>
      </c>
      <c r="B245" s="3" t="s">
        <v>308</v>
      </c>
      <c r="C245" s="5">
        <v>18</v>
      </c>
      <c r="D245" s="5">
        <v>0</v>
      </c>
      <c r="E245" s="8">
        <v>335</v>
      </c>
      <c r="F245" s="8">
        <v>16392</v>
      </c>
      <c r="G245" s="5">
        <f t="shared" si="9"/>
        <v>2.0436798438262568E-2</v>
      </c>
      <c r="H245" s="8">
        <v>1460</v>
      </c>
      <c r="I245" s="8">
        <v>110</v>
      </c>
      <c r="J245" s="8">
        <v>13631</v>
      </c>
      <c r="K245" s="5">
        <f t="shared" si="10"/>
        <v>4.0689552238805975</v>
      </c>
      <c r="L245" s="5">
        <v>2.4246612903225802</v>
      </c>
      <c r="M245" s="5">
        <v>43.0721712</v>
      </c>
      <c r="N245" s="5">
        <v>14.607604800000001</v>
      </c>
      <c r="O245" s="5">
        <f t="shared" si="11"/>
        <v>0.66085747727525745</v>
      </c>
      <c r="P245" s="5">
        <v>0.47121305806451602</v>
      </c>
      <c r="Q245" s="5">
        <v>0.55770642580645202</v>
      </c>
    </row>
    <row r="246" spans="1:17" ht="15.5" x14ac:dyDescent="0.35">
      <c r="A246" s="3" t="s">
        <v>343</v>
      </c>
      <c r="B246" s="3" t="s">
        <v>309</v>
      </c>
      <c r="C246" s="5">
        <v>4</v>
      </c>
      <c r="D246" s="5">
        <v>0</v>
      </c>
      <c r="E246" s="8">
        <v>222</v>
      </c>
      <c r="F246" s="8">
        <v>9425</v>
      </c>
      <c r="G246" s="5">
        <f t="shared" si="9"/>
        <v>2.3554376657824935E-2</v>
      </c>
      <c r="H246" s="8">
        <v>1355</v>
      </c>
      <c r="I246" s="8">
        <v>82</v>
      </c>
      <c r="J246" s="8">
        <v>9842</v>
      </c>
      <c r="K246" s="5">
        <f t="shared" si="10"/>
        <v>4.4333333333333336</v>
      </c>
      <c r="L246" s="5">
        <v>2.33213870967742</v>
      </c>
      <c r="M246" s="5">
        <v>12.975228</v>
      </c>
      <c r="N246" s="5">
        <v>3.8451672000000001</v>
      </c>
      <c r="O246" s="5">
        <f t="shared" si="11"/>
        <v>0.70365320748120963</v>
      </c>
      <c r="P246" s="5">
        <v>0.124037651612903</v>
      </c>
      <c r="Q246" s="5"/>
    </row>
    <row r="247" spans="1:17" ht="15.5" x14ac:dyDescent="0.35">
      <c r="A247" s="3" t="s">
        <v>343</v>
      </c>
      <c r="B247" s="3" t="s">
        <v>310</v>
      </c>
      <c r="C247" s="5">
        <v>10</v>
      </c>
      <c r="D247" s="5">
        <v>1</v>
      </c>
      <c r="E247" s="8">
        <v>164</v>
      </c>
      <c r="F247" s="8">
        <v>10625</v>
      </c>
      <c r="G247" s="5">
        <f t="shared" si="9"/>
        <v>1.5435294117647059E-2</v>
      </c>
      <c r="H247" s="8">
        <v>1062</v>
      </c>
      <c r="I247" s="8">
        <v>76</v>
      </c>
      <c r="J247" s="8">
        <v>8128</v>
      </c>
      <c r="K247" s="5">
        <f t="shared" si="10"/>
        <v>4.9560975609756106</v>
      </c>
      <c r="L247" s="5">
        <v>3.1551870967741902</v>
      </c>
      <c r="M247" s="5">
        <v>16.213964399999998</v>
      </c>
      <c r="N247" s="5">
        <v>7.0001819999999997</v>
      </c>
      <c r="O247" s="5">
        <f t="shared" si="11"/>
        <v>0.56826215801978686</v>
      </c>
      <c r="P247" s="5">
        <v>0.22581232258064499</v>
      </c>
      <c r="Q247" s="5">
        <v>0.24034006451612899</v>
      </c>
    </row>
    <row r="248" spans="1:17" ht="15.5" x14ac:dyDescent="0.35">
      <c r="A248" s="3" t="s">
        <v>343</v>
      </c>
      <c r="B248" s="3" t="s">
        <v>311</v>
      </c>
      <c r="C248" s="5">
        <v>11</v>
      </c>
      <c r="D248" s="5">
        <v>1</v>
      </c>
      <c r="E248" s="8">
        <v>514</v>
      </c>
      <c r="F248" s="8">
        <v>14183</v>
      </c>
      <c r="G248" s="5">
        <f t="shared" si="9"/>
        <v>3.6240569696115069E-2</v>
      </c>
      <c r="H248" s="8">
        <v>1563</v>
      </c>
      <c r="I248" s="8">
        <v>274</v>
      </c>
      <c r="J248" s="8">
        <v>24791</v>
      </c>
      <c r="K248" s="5">
        <f t="shared" si="10"/>
        <v>4.8231517509727624</v>
      </c>
      <c r="L248" s="5">
        <v>2.5583129032258101</v>
      </c>
      <c r="M248" s="5">
        <v>32.378162400000001</v>
      </c>
      <c r="N248" s="5">
        <v>10.722196800000001</v>
      </c>
      <c r="O248" s="5">
        <f t="shared" si="11"/>
        <v>0.668844801396141</v>
      </c>
      <c r="P248" s="5">
        <v>0.345877316129032</v>
      </c>
      <c r="Q248" s="5">
        <v>0.37960885161290298</v>
      </c>
    </row>
    <row r="249" spans="1:17" ht="15.5" x14ac:dyDescent="0.35">
      <c r="A249" s="3" t="s">
        <v>343</v>
      </c>
      <c r="B249" s="3" t="s">
        <v>312</v>
      </c>
      <c r="C249" s="5">
        <v>18</v>
      </c>
      <c r="D249" s="5">
        <v>1</v>
      </c>
      <c r="E249" s="8">
        <v>340</v>
      </c>
      <c r="F249" s="8">
        <v>13955</v>
      </c>
      <c r="G249" s="5">
        <f t="shared" si="9"/>
        <v>2.4364027230383375E-2</v>
      </c>
      <c r="H249" s="8">
        <v>1640</v>
      </c>
      <c r="I249" s="8">
        <v>159</v>
      </c>
      <c r="J249" s="8">
        <v>12749</v>
      </c>
      <c r="K249" s="5">
        <f t="shared" si="10"/>
        <v>3.749705882352941</v>
      </c>
      <c r="L249" s="5">
        <v>2.7686032258064501</v>
      </c>
      <c r="M249" s="5">
        <v>20.828372399999999</v>
      </c>
      <c r="N249" s="5">
        <v>7.5460571999999999</v>
      </c>
      <c r="O249" s="5">
        <f t="shared" si="11"/>
        <v>0.6377029824951661</v>
      </c>
      <c r="P249" s="5">
        <v>0.2434212</v>
      </c>
      <c r="Q249" s="5">
        <v>0.27674094193548399</v>
      </c>
    </row>
    <row r="250" spans="1:17" ht="15.5" x14ac:dyDescent="0.35">
      <c r="A250" s="3" t="s">
        <v>343</v>
      </c>
      <c r="B250" s="3" t="s">
        <v>313</v>
      </c>
      <c r="C250" s="5">
        <v>5</v>
      </c>
      <c r="D250" s="5">
        <v>0</v>
      </c>
      <c r="E250" s="8">
        <v>132</v>
      </c>
      <c r="F250" s="8">
        <v>4559</v>
      </c>
      <c r="G250" s="5">
        <f t="shared" si="9"/>
        <v>2.8953717920596624E-2</v>
      </c>
      <c r="H250" s="8">
        <v>719</v>
      </c>
      <c r="I250" s="8">
        <v>47</v>
      </c>
      <c r="J250" s="8">
        <v>6052</v>
      </c>
      <c r="K250" s="5">
        <f t="shared" si="10"/>
        <v>4.584848484848485</v>
      </c>
      <c r="L250" s="5">
        <v>2.8194677419354801</v>
      </c>
      <c r="M250" s="5">
        <v>11.7132156</v>
      </c>
      <c r="N250" s="5">
        <v>4.3820028000000004</v>
      </c>
      <c r="O250" s="5">
        <f t="shared" si="11"/>
        <v>0.62589241505978932</v>
      </c>
      <c r="P250" s="5">
        <v>0.14135492903225799</v>
      </c>
      <c r="Q250" s="5">
        <v>0.134079561290323</v>
      </c>
    </row>
    <row r="251" spans="1:17" ht="15.5" x14ac:dyDescent="0.35">
      <c r="A251" s="3" t="s">
        <v>342</v>
      </c>
      <c r="B251" s="3" t="s">
        <v>314</v>
      </c>
      <c r="C251" s="5">
        <v>16</v>
      </c>
      <c r="D251" s="5">
        <v>1</v>
      </c>
      <c r="E251" s="8">
        <v>458</v>
      </c>
      <c r="F251" s="8">
        <v>9544</v>
      </c>
      <c r="G251" s="5">
        <f t="shared" si="9"/>
        <v>4.798826487845767E-2</v>
      </c>
      <c r="H251" s="8">
        <v>2195</v>
      </c>
      <c r="I251" s="8">
        <v>157</v>
      </c>
      <c r="J251" s="8">
        <v>25149</v>
      </c>
      <c r="K251" s="5">
        <f t="shared" si="10"/>
        <v>5.4910480349344981</v>
      </c>
      <c r="L251" s="5">
        <v>2.1897419354838701</v>
      </c>
      <c r="M251" s="5">
        <v>73.736729999999994</v>
      </c>
      <c r="N251" s="5">
        <v>23.156053199999999</v>
      </c>
      <c r="O251" s="5">
        <f t="shared" si="11"/>
        <v>0.68596311227796514</v>
      </c>
      <c r="P251" s="5">
        <v>0.74696945806451598</v>
      </c>
      <c r="Q251" s="5">
        <v>0.93550819354838699</v>
      </c>
    </row>
    <row r="252" spans="1:17" ht="15.5" x14ac:dyDescent="0.35">
      <c r="A252" s="3" t="s">
        <v>342</v>
      </c>
      <c r="B252" s="3" t="s">
        <v>315</v>
      </c>
      <c r="C252" s="5">
        <v>12</v>
      </c>
      <c r="D252" s="5">
        <v>0</v>
      </c>
      <c r="E252" s="8">
        <v>250</v>
      </c>
      <c r="F252" s="8">
        <v>19292</v>
      </c>
      <c r="G252" s="5">
        <f t="shared" si="9"/>
        <v>1.2958739373833713E-2</v>
      </c>
      <c r="H252" s="8">
        <v>837</v>
      </c>
      <c r="I252" s="8">
        <v>181</v>
      </c>
      <c r="J252" s="8">
        <v>14986</v>
      </c>
      <c r="K252" s="5">
        <f t="shared" si="10"/>
        <v>5.9944000000000006</v>
      </c>
      <c r="L252" s="5">
        <v>3.1901322580645202</v>
      </c>
      <c r="M252" s="5">
        <v>17.537634000000001</v>
      </c>
      <c r="N252" s="5">
        <v>4.4952084000000001</v>
      </c>
      <c r="O252" s="5">
        <f t="shared" si="11"/>
        <v>0.74368216373998908</v>
      </c>
      <c r="P252" s="5">
        <v>0.14500672258064501</v>
      </c>
      <c r="Q252" s="5">
        <v>0.22829980645161299</v>
      </c>
    </row>
    <row r="253" spans="1:17" ht="15.5" x14ac:dyDescent="0.35">
      <c r="A253" s="3" t="s">
        <v>342</v>
      </c>
      <c r="B253" s="3" t="s">
        <v>316</v>
      </c>
      <c r="C253" s="5">
        <v>15</v>
      </c>
      <c r="D253" s="5">
        <v>1</v>
      </c>
      <c r="E253" s="8">
        <v>304</v>
      </c>
      <c r="F253" s="8">
        <v>23536</v>
      </c>
      <c r="G253" s="5">
        <f t="shared" si="9"/>
        <v>1.291638341264446E-2</v>
      </c>
      <c r="H253" s="8">
        <v>1182</v>
      </c>
      <c r="I253" s="8">
        <v>55</v>
      </c>
      <c r="J253" s="8">
        <v>12097</v>
      </c>
      <c r="K253" s="5">
        <f t="shared" si="10"/>
        <v>3.9792763157894737</v>
      </c>
      <c r="L253" s="5">
        <v>3.4849193548387101</v>
      </c>
      <c r="M253" s="5">
        <v>19.431899999999999</v>
      </c>
      <c r="N253" s="5">
        <v>5.9056128000000001</v>
      </c>
      <c r="O253" s="5">
        <f t="shared" si="11"/>
        <v>0.69608670279283036</v>
      </c>
      <c r="P253" s="5">
        <v>0.19050363870967699</v>
      </c>
      <c r="Q253" s="5">
        <v>0.224620838709677</v>
      </c>
    </row>
    <row r="254" spans="1:17" ht="15.5" x14ac:dyDescent="0.35">
      <c r="A254" s="3" t="s">
        <v>342</v>
      </c>
      <c r="B254" s="3" t="s">
        <v>317</v>
      </c>
      <c r="C254" s="5">
        <v>14</v>
      </c>
      <c r="D254" s="5">
        <v>0</v>
      </c>
      <c r="E254" s="8">
        <v>377</v>
      </c>
      <c r="F254" s="8">
        <v>18117</v>
      </c>
      <c r="G254" s="5">
        <f t="shared" si="9"/>
        <v>2.0809184743610973E-2</v>
      </c>
      <c r="H254" s="8">
        <v>2224</v>
      </c>
      <c r="I254" s="8">
        <v>90</v>
      </c>
      <c r="J254" s="8">
        <v>20860</v>
      </c>
      <c r="K254" s="5">
        <f t="shared" si="10"/>
        <v>5.5331564986737405</v>
      </c>
      <c r="L254" s="5">
        <v>2.5286290322580598</v>
      </c>
      <c r="M254" s="5">
        <v>30.414139200000001</v>
      </c>
      <c r="N254" s="5">
        <v>10.592629199999999</v>
      </c>
      <c r="O254" s="5">
        <f t="shared" si="11"/>
        <v>0.65172023675093849</v>
      </c>
      <c r="P254" s="5">
        <v>0.34169771612903199</v>
      </c>
      <c r="Q254" s="5">
        <v>0.39813851612903201</v>
      </c>
    </row>
    <row r="255" spans="1:17" ht="15.5" x14ac:dyDescent="0.35">
      <c r="A255" s="3" t="s">
        <v>342</v>
      </c>
      <c r="B255" s="3" t="s">
        <v>318</v>
      </c>
      <c r="C255" s="5">
        <v>6</v>
      </c>
      <c r="D255" s="5">
        <v>1</v>
      </c>
      <c r="E255" s="8">
        <v>234</v>
      </c>
      <c r="F255" s="8">
        <v>37037</v>
      </c>
      <c r="G255" s="5">
        <f t="shared" si="9"/>
        <v>6.3180063180063176E-3</v>
      </c>
      <c r="H255" s="8">
        <v>1664</v>
      </c>
      <c r="I255" s="8">
        <v>63</v>
      </c>
      <c r="J255" s="8">
        <v>11460</v>
      </c>
      <c r="K255" s="5">
        <f t="shared" si="10"/>
        <v>4.8974358974358978</v>
      </c>
      <c r="L255" s="5">
        <v>2.8445645161290298</v>
      </c>
      <c r="M255" s="5">
        <v>21.151918800000001</v>
      </c>
      <c r="N255" s="5">
        <v>6.2210916000000003</v>
      </c>
      <c r="O255" s="5">
        <f t="shared" si="11"/>
        <v>0.7058852362840955</v>
      </c>
      <c r="P255" s="5">
        <v>0.20068037419354801</v>
      </c>
      <c r="Q255" s="5">
        <v>0.23407745806451599</v>
      </c>
    </row>
    <row r="256" spans="1:17" ht="15.5" x14ac:dyDescent="0.35">
      <c r="A256" s="3" t="s">
        <v>342</v>
      </c>
      <c r="B256" s="3" t="s">
        <v>319</v>
      </c>
      <c r="C256" s="5">
        <v>14</v>
      </c>
      <c r="D256" s="5">
        <v>1</v>
      </c>
      <c r="E256" s="8">
        <v>385</v>
      </c>
      <c r="F256" s="8">
        <v>42921</v>
      </c>
      <c r="G256" s="5">
        <f t="shared" si="9"/>
        <v>8.9699680808928029E-3</v>
      </c>
      <c r="H256" s="8">
        <v>4136</v>
      </c>
      <c r="I256" s="8">
        <v>108</v>
      </c>
      <c r="J256" s="8">
        <v>17493</v>
      </c>
      <c r="K256" s="5">
        <f t="shared" si="10"/>
        <v>4.543636363636363</v>
      </c>
      <c r="L256" s="5">
        <v>3.1296032258064499</v>
      </c>
      <c r="M256" s="5">
        <v>35.456713200000003</v>
      </c>
      <c r="N256" s="5">
        <v>12.6954864</v>
      </c>
      <c r="O256" s="5">
        <f t="shared" si="11"/>
        <v>0.64194407055192015</v>
      </c>
      <c r="P256" s="5">
        <v>0.40953181935483901</v>
      </c>
      <c r="Q256" s="5">
        <v>0.45836698064516102</v>
      </c>
    </row>
    <row r="257" spans="1:17" ht="15.5" x14ac:dyDescent="0.35">
      <c r="A257" s="3" t="s">
        <v>342</v>
      </c>
      <c r="B257" s="3" t="s">
        <v>320</v>
      </c>
      <c r="C257" s="5">
        <v>15</v>
      </c>
      <c r="D257" s="5">
        <v>1</v>
      </c>
      <c r="E257" s="8">
        <v>381</v>
      </c>
      <c r="F257" s="8">
        <v>27096</v>
      </c>
      <c r="G257" s="5">
        <f t="shared" si="9"/>
        <v>1.4061116031886626E-2</v>
      </c>
      <c r="H257" s="8">
        <v>1548</v>
      </c>
      <c r="I257" s="8">
        <v>92</v>
      </c>
      <c r="J257" s="8">
        <v>20197</v>
      </c>
      <c r="K257" s="5">
        <f t="shared" si="10"/>
        <v>5.3010498687664036</v>
      </c>
      <c r="L257" s="5">
        <v>3.3040774193548401</v>
      </c>
      <c r="M257" s="5">
        <v>20.816838000000001</v>
      </c>
      <c r="N257" s="5">
        <v>7.1397611999999997</v>
      </c>
      <c r="O257" s="5">
        <f t="shared" si="11"/>
        <v>0.65701989898754076</v>
      </c>
      <c r="P257" s="5">
        <v>0.230314877419355</v>
      </c>
      <c r="Q257" s="5">
        <v>0.243622916129032</v>
      </c>
    </row>
    <row r="258" spans="1:17" ht="15.5" x14ac:dyDescent="0.35">
      <c r="A258" s="3" t="s">
        <v>342</v>
      </c>
      <c r="B258" s="3" t="s">
        <v>321</v>
      </c>
      <c r="C258" s="5">
        <v>22</v>
      </c>
      <c r="D258" s="5">
        <v>0</v>
      </c>
      <c r="E258" s="8">
        <v>543</v>
      </c>
      <c r="F258" s="8">
        <v>13134</v>
      </c>
      <c r="G258" s="5">
        <f t="shared" ref="G258:G321" si="12">E258/F258</f>
        <v>4.1343079031521242E-2</v>
      </c>
      <c r="H258" s="8">
        <v>1828</v>
      </c>
      <c r="I258" s="8">
        <v>170</v>
      </c>
      <c r="J258" s="8">
        <v>20833</v>
      </c>
      <c r="K258" s="5">
        <f t="shared" ref="K258:K321" si="13">(J258/(E258*10000))*1000</f>
        <v>3.8366482504604051</v>
      </c>
      <c r="L258" s="5">
        <v>2.4812387096774202</v>
      </c>
      <c r="M258" s="5">
        <v>51.359507999999998</v>
      </c>
      <c r="N258" s="5">
        <v>15.4716156</v>
      </c>
      <c r="O258" s="5">
        <f t="shared" ref="O258:O321" si="14">1-N258/M258</f>
        <v>0.69875849277995417</v>
      </c>
      <c r="P258" s="5">
        <v>0.49908437419354801</v>
      </c>
      <c r="Q258" s="5">
        <v>0.63603290322580597</v>
      </c>
    </row>
    <row r="259" spans="1:17" ht="15.5" x14ac:dyDescent="0.35">
      <c r="A259" s="3" t="s">
        <v>342</v>
      </c>
      <c r="B259" s="3" t="s">
        <v>322</v>
      </c>
      <c r="C259" s="5">
        <v>9</v>
      </c>
      <c r="D259" s="5">
        <v>0</v>
      </c>
      <c r="E259" s="8">
        <v>957</v>
      </c>
      <c r="F259" s="8">
        <v>10758</v>
      </c>
      <c r="G259" s="5">
        <f t="shared" si="12"/>
        <v>8.8957055214723926E-2</v>
      </c>
      <c r="H259" s="8">
        <v>9321</v>
      </c>
      <c r="I259" s="15">
        <v>359</v>
      </c>
      <c r="J259" s="8">
        <v>67238</v>
      </c>
      <c r="K259" s="5">
        <f t="shared" si="13"/>
        <v>7.0259143155694881</v>
      </c>
      <c r="L259" s="5">
        <v>1.4492806451612901</v>
      </c>
      <c r="M259" s="5">
        <v>198.39896999999999</v>
      </c>
      <c r="N259" s="5">
        <v>74.025025200000002</v>
      </c>
      <c r="O259" s="5">
        <f t="shared" si="14"/>
        <v>0.62688805692892458</v>
      </c>
      <c r="P259" s="5">
        <v>2.3879040387096802</v>
      </c>
      <c r="Q259" s="5">
        <v>1.70964975483871</v>
      </c>
    </row>
    <row r="260" spans="1:17" s="12" customFormat="1" ht="15.5" x14ac:dyDescent="0.35">
      <c r="A260" s="3" t="s">
        <v>342</v>
      </c>
      <c r="B260" s="3" t="s">
        <v>323</v>
      </c>
      <c r="C260" s="5">
        <v>5</v>
      </c>
      <c r="D260" s="5">
        <v>0</v>
      </c>
      <c r="E260" s="8">
        <v>79</v>
      </c>
      <c r="F260" s="8">
        <v>3882</v>
      </c>
      <c r="G260" s="5">
        <f t="shared" si="12"/>
        <v>2.0350334878928386E-2</v>
      </c>
      <c r="H260" s="8">
        <v>355</v>
      </c>
      <c r="I260" s="8">
        <v>44</v>
      </c>
      <c r="J260" s="8">
        <v>5435</v>
      </c>
      <c r="K260" s="5">
        <f t="shared" si="13"/>
        <v>6.8797468354430373</v>
      </c>
      <c r="L260" s="5">
        <v>2.4157225806451601</v>
      </c>
      <c r="M260" s="5">
        <v>9.6883128000000003</v>
      </c>
      <c r="N260" s="5">
        <v>2.9758428000000001</v>
      </c>
      <c r="O260" s="5">
        <f t="shared" si="14"/>
        <v>0.69284199824762061</v>
      </c>
      <c r="P260" s="5">
        <v>9.5994929032258106E-2</v>
      </c>
      <c r="Q260" s="5">
        <v>0.108542090322581</v>
      </c>
    </row>
    <row r="261" spans="1:17" ht="15.5" x14ac:dyDescent="0.35">
      <c r="A261" s="3" t="s">
        <v>23</v>
      </c>
      <c r="B261" s="3" t="s">
        <v>23</v>
      </c>
      <c r="C261" s="5">
        <v>15</v>
      </c>
      <c r="D261" s="5">
        <v>2</v>
      </c>
      <c r="E261" s="8">
        <v>1469</v>
      </c>
      <c r="F261" s="8">
        <v>6341</v>
      </c>
      <c r="G261" s="5">
        <f t="shared" si="12"/>
        <v>0.23166692950638701</v>
      </c>
      <c r="H261" s="8">
        <v>38156</v>
      </c>
      <c r="I261" s="8">
        <v>387</v>
      </c>
      <c r="J261" s="8">
        <v>136682</v>
      </c>
      <c r="K261" s="5">
        <f t="shared" si="13"/>
        <v>9.3044247787610619</v>
      </c>
      <c r="L261" s="5">
        <v>2.1529774193548401</v>
      </c>
      <c r="M261" s="5">
        <v>309.63089159999998</v>
      </c>
      <c r="N261" s="5">
        <v>115.2066564</v>
      </c>
      <c r="O261" s="5">
        <f t="shared" si="14"/>
        <v>0.62792260228081198</v>
      </c>
      <c r="P261" s="5">
        <v>3.7163437548387099</v>
      </c>
      <c r="Q261" s="5">
        <v>3.5871984000000001</v>
      </c>
    </row>
    <row r="262" spans="1:17" s="12" customFormat="1" ht="15.5" x14ac:dyDescent="0.35">
      <c r="A262" s="3" t="s">
        <v>349</v>
      </c>
      <c r="B262" s="3" t="s">
        <v>209</v>
      </c>
      <c r="C262" s="5">
        <v>12</v>
      </c>
      <c r="D262" s="5">
        <v>0</v>
      </c>
      <c r="E262" s="8">
        <v>350</v>
      </c>
      <c r="F262" s="8">
        <v>12723</v>
      </c>
      <c r="G262" s="5">
        <f t="shared" si="12"/>
        <v>2.7509235243260238E-2</v>
      </c>
      <c r="H262" s="8">
        <v>1863</v>
      </c>
      <c r="I262" s="8">
        <v>105</v>
      </c>
      <c r="J262" s="8">
        <v>18874</v>
      </c>
      <c r="K262" s="5">
        <f t="shared" si="13"/>
        <v>5.3925714285714292</v>
      </c>
      <c r="L262" s="5">
        <v>3.4582161290322602</v>
      </c>
      <c r="M262" s="5">
        <v>35.3712096</v>
      </c>
      <c r="N262" s="5">
        <v>13.9571424</v>
      </c>
      <c r="O262" s="5">
        <f t="shared" si="14"/>
        <v>0.60540952492617039</v>
      </c>
      <c r="P262" s="5">
        <v>0.45023039999999998</v>
      </c>
      <c r="Q262" s="5">
        <v>0.46787481290322602</v>
      </c>
    </row>
    <row r="263" spans="1:17" ht="15.5" x14ac:dyDescent="0.35">
      <c r="A263" s="3" t="s">
        <v>349</v>
      </c>
      <c r="B263" s="3" t="s">
        <v>210</v>
      </c>
      <c r="C263" s="5">
        <v>11</v>
      </c>
      <c r="D263" s="5">
        <v>0</v>
      </c>
      <c r="E263" s="8">
        <v>408</v>
      </c>
      <c r="F263" s="8">
        <v>5386</v>
      </c>
      <c r="G263" s="5">
        <f t="shared" si="12"/>
        <v>7.575194949870033E-2</v>
      </c>
      <c r="H263" s="8">
        <v>1433</v>
      </c>
      <c r="I263" s="8">
        <v>76</v>
      </c>
      <c r="J263" s="8">
        <v>15358</v>
      </c>
      <c r="K263" s="5">
        <f t="shared" si="13"/>
        <v>3.7642156862745098</v>
      </c>
      <c r="L263" s="5">
        <v>3.4855451612903199</v>
      </c>
      <c r="M263" s="5">
        <v>47.088766800000002</v>
      </c>
      <c r="N263" s="5">
        <v>21.5695224</v>
      </c>
      <c r="O263" s="5">
        <f t="shared" si="14"/>
        <v>0.54193911062457478</v>
      </c>
      <c r="P263" s="5">
        <v>0.69579104516128998</v>
      </c>
      <c r="Q263" s="5">
        <v>0.71467606451612897</v>
      </c>
    </row>
    <row r="264" spans="1:17" s="16" customFormat="1" ht="15.5" x14ac:dyDescent="0.35">
      <c r="A264" s="13" t="s">
        <v>349</v>
      </c>
      <c r="B264" s="13" t="s">
        <v>211</v>
      </c>
      <c r="C264" s="14">
        <v>19</v>
      </c>
      <c r="D264" s="14">
        <v>1</v>
      </c>
      <c r="E264" s="15">
        <v>493</v>
      </c>
      <c r="F264" s="15">
        <v>60294</v>
      </c>
      <c r="G264" s="14">
        <f t="shared" si="12"/>
        <v>8.1766013201976986E-3</v>
      </c>
      <c r="H264" s="15">
        <v>1676</v>
      </c>
      <c r="I264" s="15">
        <v>128</v>
      </c>
      <c r="J264" s="15">
        <v>28132</v>
      </c>
      <c r="K264" s="14">
        <f t="shared" si="13"/>
        <v>5.7062880324543608</v>
      </c>
      <c r="L264" s="14">
        <v>3.5572838709677401</v>
      </c>
      <c r="M264" s="14">
        <v>30.225733200000001</v>
      </c>
      <c r="N264" s="14">
        <v>12.7559448</v>
      </c>
      <c r="O264" s="14">
        <f t="shared" si="14"/>
        <v>0.57797732430192961</v>
      </c>
      <c r="P264" s="14">
        <v>0.41148209032258098</v>
      </c>
      <c r="Q264" s="14">
        <v>0.44583131612903198</v>
      </c>
    </row>
    <row r="265" spans="1:17" ht="15.5" x14ac:dyDescent="0.35">
      <c r="A265" s="3" t="s">
        <v>349</v>
      </c>
      <c r="B265" s="3" t="s">
        <v>212</v>
      </c>
      <c r="C265" s="5">
        <v>9</v>
      </c>
      <c r="D265" s="5">
        <v>2</v>
      </c>
      <c r="E265" s="8">
        <v>724</v>
      </c>
      <c r="F265" s="8">
        <v>12479</v>
      </c>
      <c r="G265" s="5">
        <f t="shared" si="12"/>
        <v>5.801746934850549E-2</v>
      </c>
      <c r="H265" s="8">
        <v>2322</v>
      </c>
      <c r="I265" s="8">
        <v>166</v>
      </c>
      <c r="J265" s="8">
        <v>32949</v>
      </c>
      <c r="K265" s="5">
        <f t="shared" si="13"/>
        <v>4.55096685082873</v>
      </c>
      <c r="L265" s="5">
        <v>4.0618612903225797</v>
      </c>
      <c r="M265" s="5">
        <v>69.831558000000001</v>
      </c>
      <c r="N265" s="5">
        <v>32.941209600000001</v>
      </c>
      <c r="O265" s="5">
        <f t="shared" si="14"/>
        <v>0.52827617565112894</v>
      </c>
      <c r="P265" s="5">
        <v>1.0626196645161301</v>
      </c>
      <c r="Q265" s="5">
        <v>0.96705952258064498</v>
      </c>
    </row>
    <row r="266" spans="1:17" s="12" customFormat="1" ht="15.5" x14ac:dyDescent="0.35">
      <c r="A266" s="3" t="s">
        <v>349</v>
      </c>
      <c r="B266" s="3" t="s">
        <v>213</v>
      </c>
      <c r="C266" s="5">
        <v>14</v>
      </c>
      <c r="D266" s="5">
        <v>1</v>
      </c>
      <c r="E266" s="8">
        <v>552</v>
      </c>
      <c r="F266" s="8">
        <v>13271</v>
      </c>
      <c r="G266" s="5">
        <f t="shared" si="12"/>
        <v>4.1594454072790298E-2</v>
      </c>
      <c r="H266" s="8">
        <v>2602</v>
      </c>
      <c r="I266" s="8">
        <v>135</v>
      </c>
      <c r="J266" s="8">
        <v>26470</v>
      </c>
      <c r="K266" s="5">
        <f t="shared" si="13"/>
        <v>4.7952898550724639</v>
      </c>
      <c r="L266" s="5">
        <v>3.9085000000000001</v>
      </c>
      <c r="M266" s="5">
        <v>46.206255599999999</v>
      </c>
      <c r="N266" s="5">
        <v>20.001427199999998</v>
      </c>
      <c r="O266" s="5">
        <f t="shared" si="14"/>
        <v>0.56712728741430418</v>
      </c>
      <c r="P266" s="5">
        <v>0.64520732903225797</v>
      </c>
      <c r="Q266" s="5">
        <v>0.65616270967741896</v>
      </c>
    </row>
    <row r="267" spans="1:17" ht="15.5" x14ac:dyDescent="0.35">
      <c r="A267" s="3" t="s">
        <v>349</v>
      </c>
      <c r="B267" s="3" t="s">
        <v>214</v>
      </c>
      <c r="C267" s="5">
        <v>4</v>
      </c>
      <c r="D267" s="5">
        <v>1</v>
      </c>
      <c r="E267" s="8">
        <v>366</v>
      </c>
      <c r="F267" s="8">
        <v>12293</v>
      </c>
      <c r="G267" s="5">
        <f t="shared" si="12"/>
        <v>2.9773041568372245E-2</v>
      </c>
      <c r="H267" s="8">
        <v>754</v>
      </c>
      <c r="I267" s="8">
        <v>78</v>
      </c>
      <c r="J267" s="8">
        <v>14954</v>
      </c>
      <c r="K267" s="5">
        <f t="shared" si="13"/>
        <v>4.0857923497267761</v>
      </c>
      <c r="L267" s="5">
        <v>5.2243258064516098</v>
      </c>
      <c r="M267" s="5">
        <v>31.0718268</v>
      </c>
      <c r="N267" s="5">
        <v>15.8334264</v>
      </c>
      <c r="O267" s="5">
        <f t="shared" si="14"/>
        <v>0.49042499168410658</v>
      </c>
      <c r="P267" s="5">
        <v>0.51075569032258095</v>
      </c>
      <c r="Q267" s="5">
        <v>0.49246745806451597</v>
      </c>
    </row>
    <row r="268" spans="1:17" ht="15.5" x14ac:dyDescent="0.35">
      <c r="A268" s="3" t="s">
        <v>349</v>
      </c>
      <c r="B268" s="3" t="s">
        <v>215</v>
      </c>
      <c r="C268" s="5">
        <v>8</v>
      </c>
      <c r="D268" s="5">
        <v>1</v>
      </c>
      <c r="E268" s="8">
        <v>299</v>
      </c>
      <c r="F268" s="8">
        <v>16319</v>
      </c>
      <c r="G268" s="5">
        <f t="shared" si="12"/>
        <v>1.8322201115264416E-2</v>
      </c>
      <c r="H268" s="8">
        <v>942</v>
      </c>
      <c r="I268" s="8">
        <v>79</v>
      </c>
      <c r="J268" s="8">
        <v>17273</v>
      </c>
      <c r="K268" s="5">
        <f t="shared" si="13"/>
        <v>5.7769230769230768</v>
      </c>
      <c r="L268" s="5">
        <v>4.6024322580645203</v>
      </c>
      <c r="M268" s="5">
        <v>29.022462000000001</v>
      </c>
      <c r="N268" s="5">
        <v>14.327798400000001</v>
      </c>
      <c r="O268" s="5">
        <f t="shared" si="14"/>
        <v>0.5063203666181042</v>
      </c>
      <c r="P268" s="5">
        <v>0.46218704516129</v>
      </c>
      <c r="Q268" s="5">
        <v>0.46236681290322601</v>
      </c>
    </row>
    <row r="269" spans="1:17" ht="15.5" x14ac:dyDescent="0.35">
      <c r="A269" s="3" t="s">
        <v>349</v>
      </c>
      <c r="B269" s="3" t="s">
        <v>216</v>
      </c>
      <c r="C269" s="5">
        <v>6</v>
      </c>
      <c r="D269" s="5">
        <v>0</v>
      </c>
      <c r="E269" s="8">
        <v>459</v>
      </c>
      <c r="F269" s="8">
        <v>6333</v>
      </c>
      <c r="G269" s="5">
        <f t="shared" si="12"/>
        <v>7.247749881572714E-2</v>
      </c>
      <c r="H269" s="8">
        <v>1250</v>
      </c>
      <c r="I269" s="8">
        <v>79</v>
      </c>
      <c r="J269" s="8">
        <v>20626</v>
      </c>
      <c r="K269" s="5">
        <f t="shared" si="13"/>
        <v>4.4936819172113287</v>
      </c>
      <c r="L269" s="5">
        <v>3.8360258064516102</v>
      </c>
      <c r="M269" s="5">
        <v>44.923669199999999</v>
      </c>
      <c r="N269" s="5">
        <v>18.678923999999999</v>
      </c>
      <c r="O269" s="5">
        <f t="shared" si="14"/>
        <v>0.58420751615720645</v>
      </c>
      <c r="P269" s="5">
        <v>0.60254593548387103</v>
      </c>
      <c r="Q269" s="5">
        <v>0.61466144516128995</v>
      </c>
    </row>
    <row r="270" spans="1:17" ht="15.5" x14ac:dyDescent="0.35">
      <c r="A270" s="3" t="s">
        <v>349</v>
      </c>
      <c r="B270" s="3" t="s">
        <v>217</v>
      </c>
      <c r="C270" s="5">
        <v>6</v>
      </c>
      <c r="D270" s="5">
        <v>0</v>
      </c>
      <c r="E270" s="8">
        <v>384</v>
      </c>
      <c r="F270" s="8">
        <v>5911</v>
      </c>
      <c r="G270" s="5">
        <f t="shared" si="12"/>
        <v>6.4963627135848412E-2</v>
      </c>
      <c r="H270" s="8">
        <v>2336</v>
      </c>
      <c r="I270" s="8">
        <v>92</v>
      </c>
      <c r="J270" s="8">
        <v>18101</v>
      </c>
      <c r="K270" s="5">
        <f t="shared" si="13"/>
        <v>4.7138020833333334</v>
      </c>
      <c r="L270" s="5">
        <v>2.80598709677419</v>
      </c>
      <c r="M270" s="5">
        <v>49.912621199999997</v>
      </c>
      <c r="N270" s="5">
        <v>20.495300400000001</v>
      </c>
      <c r="O270" s="5">
        <f t="shared" si="14"/>
        <v>0.58937639604469416</v>
      </c>
      <c r="P270" s="5">
        <v>0.66113872258064499</v>
      </c>
      <c r="Q270" s="5">
        <v>0.68751545806451597</v>
      </c>
    </row>
    <row r="271" spans="1:17" ht="15.5" x14ac:dyDescent="0.35">
      <c r="A271" s="3" t="s">
        <v>349</v>
      </c>
      <c r="B271" s="3" t="s">
        <v>218</v>
      </c>
      <c r="C271" s="5">
        <v>34</v>
      </c>
      <c r="D271" s="5">
        <v>2</v>
      </c>
      <c r="E271" s="8">
        <v>1500</v>
      </c>
      <c r="F271" s="8">
        <v>14335</v>
      </c>
      <c r="G271" s="5">
        <f t="shared" si="12"/>
        <v>0.10463899546564354</v>
      </c>
      <c r="H271" s="8">
        <v>17013</v>
      </c>
      <c r="I271" s="8">
        <v>629</v>
      </c>
      <c r="J271" s="8">
        <v>123762</v>
      </c>
      <c r="K271" s="5">
        <f t="shared" si="13"/>
        <v>8.2508000000000017</v>
      </c>
      <c r="L271" s="5">
        <v>1.9950000000000001</v>
      </c>
      <c r="M271" s="5">
        <v>306.12893759999997</v>
      </c>
      <c r="N271" s="5">
        <v>138.714606</v>
      </c>
      <c r="O271" s="5">
        <f t="shared" si="14"/>
        <v>0.54687522490523288</v>
      </c>
      <c r="P271" s="5">
        <v>4.4746647096774197</v>
      </c>
      <c r="Q271" s="5">
        <v>4.0245315096774199</v>
      </c>
    </row>
    <row r="272" spans="1:17" ht="15.5" x14ac:dyDescent="0.35">
      <c r="A272" s="3" t="s">
        <v>349</v>
      </c>
      <c r="B272" s="3" t="s">
        <v>219</v>
      </c>
      <c r="C272" s="5">
        <v>5</v>
      </c>
      <c r="D272" s="5">
        <v>1</v>
      </c>
      <c r="E272" s="8">
        <v>108</v>
      </c>
      <c r="F272" s="8">
        <v>7414</v>
      </c>
      <c r="G272" s="5">
        <f t="shared" si="12"/>
        <v>1.4567035338548692E-2</v>
      </c>
      <c r="H272" s="8">
        <v>1010</v>
      </c>
      <c r="I272" s="8">
        <v>31</v>
      </c>
      <c r="J272" s="8">
        <v>9460</v>
      </c>
      <c r="K272" s="5">
        <f t="shared" si="13"/>
        <v>8.7592592592592595</v>
      </c>
      <c r="L272" s="5">
        <v>2.9877548387096802</v>
      </c>
      <c r="M272" s="5">
        <v>12.809631599999999</v>
      </c>
      <c r="N272" s="5">
        <v>5.4557712</v>
      </c>
      <c r="O272" s="5">
        <f t="shared" si="14"/>
        <v>0.57408836019921128</v>
      </c>
      <c r="P272" s="5">
        <v>0.17599261935483901</v>
      </c>
      <c r="Q272" s="5">
        <v>0.174899380645161</v>
      </c>
    </row>
    <row r="273" spans="1:17" ht="15.5" x14ac:dyDescent="0.35">
      <c r="A273" s="3" t="s">
        <v>349</v>
      </c>
      <c r="B273" s="3" t="s">
        <v>220</v>
      </c>
      <c r="C273" s="5">
        <v>4</v>
      </c>
      <c r="D273" s="5">
        <v>1</v>
      </c>
      <c r="E273" s="8">
        <v>509</v>
      </c>
      <c r="F273" s="8">
        <v>12232</v>
      </c>
      <c r="G273" s="5">
        <f t="shared" si="12"/>
        <v>4.1612164813603664E-2</v>
      </c>
      <c r="H273" s="8">
        <v>2081</v>
      </c>
      <c r="I273" s="8">
        <v>157</v>
      </c>
      <c r="J273" s="8">
        <v>24750</v>
      </c>
      <c r="K273" s="5">
        <f t="shared" si="13"/>
        <v>4.8624754420432224</v>
      </c>
      <c r="L273" s="5">
        <v>3.6351548387096799</v>
      </c>
      <c r="M273" s="5">
        <v>47.500019999999999</v>
      </c>
      <c r="N273" s="5">
        <v>20.440285200000002</v>
      </c>
      <c r="O273" s="5">
        <f t="shared" si="14"/>
        <v>0.56967838750383681</v>
      </c>
      <c r="P273" s="5">
        <v>0.65936403870967697</v>
      </c>
      <c r="Q273" s="5">
        <v>0.65745766451612897</v>
      </c>
    </row>
    <row r="274" spans="1:17" ht="15.5" x14ac:dyDescent="0.35">
      <c r="A274" s="13" t="s">
        <v>349</v>
      </c>
      <c r="B274" s="13" t="s">
        <v>221</v>
      </c>
      <c r="C274" s="14">
        <v>0</v>
      </c>
      <c r="D274" s="14">
        <v>3</v>
      </c>
      <c r="E274" s="15">
        <v>120</v>
      </c>
      <c r="F274" s="15">
        <v>149599</v>
      </c>
      <c r="G274" s="14">
        <f t="shared" si="12"/>
        <v>8.0214439936095833E-4</v>
      </c>
      <c r="H274" s="15">
        <v>388</v>
      </c>
      <c r="I274" s="15">
        <v>44</v>
      </c>
      <c r="J274" s="15">
        <v>5381</v>
      </c>
      <c r="K274" s="14">
        <f t="shared" si="13"/>
        <v>4.4841666666666669</v>
      </c>
      <c r="L274" s="14">
        <v>2.2147806451612899</v>
      </c>
      <c r="M274" s="14">
        <v>7.1606591999999996</v>
      </c>
      <c r="N274" s="14">
        <v>2.2078007999999998</v>
      </c>
      <c r="O274" s="14">
        <f t="shared" si="14"/>
        <v>0.69167631940925212</v>
      </c>
      <c r="P274" s="14">
        <v>7.1219380645161298E-2</v>
      </c>
      <c r="Q274" s="14">
        <v>8.0327961290322603E-2</v>
      </c>
    </row>
    <row r="275" spans="1:17" ht="15.5" x14ac:dyDescent="0.35">
      <c r="A275" s="3" t="s">
        <v>349</v>
      </c>
      <c r="B275" s="3" t="s">
        <v>222</v>
      </c>
      <c r="C275" s="5">
        <v>5</v>
      </c>
      <c r="D275" s="5">
        <v>0</v>
      </c>
      <c r="E275" s="8">
        <v>342</v>
      </c>
      <c r="F275" s="8">
        <v>7140</v>
      </c>
      <c r="G275" s="5">
        <f t="shared" si="12"/>
        <v>4.789915966386555E-2</v>
      </c>
      <c r="H275" s="8">
        <v>1380</v>
      </c>
      <c r="I275" s="8">
        <v>86</v>
      </c>
      <c r="J275" s="8">
        <v>12989</v>
      </c>
      <c r="K275" s="5">
        <f t="shared" si="13"/>
        <v>3.7979532163742689</v>
      </c>
      <c r="L275" s="5">
        <v>2.90325161290323</v>
      </c>
      <c r="M275" s="5">
        <v>45.051519599999999</v>
      </c>
      <c r="N275" s="5">
        <v>18.174132</v>
      </c>
      <c r="O275" s="5">
        <f t="shared" si="14"/>
        <v>0.59659225346085765</v>
      </c>
      <c r="P275" s="5">
        <v>0.58626232258064503</v>
      </c>
      <c r="Q275" s="5">
        <v>0.63888619354838705</v>
      </c>
    </row>
    <row r="276" spans="1:17" ht="15.5" x14ac:dyDescent="0.35">
      <c r="A276" s="3" t="s">
        <v>349</v>
      </c>
      <c r="B276" s="3" t="s">
        <v>223</v>
      </c>
      <c r="C276" s="5">
        <v>6</v>
      </c>
      <c r="D276" s="5">
        <v>1</v>
      </c>
      <c r="E276" s="8">
        <v>531</v>
      </c>
      <c r="F276" s="8">
        <v>20248</v>
      </c>
      <c r="G276" s="5">
        <f t="shared" si="12"/>
        <v>2.622481232714342E-2</v>
      </c>
      <c r="H276" s="8">
        <v>2856</v>
      </c>
      <c r="I276" s="8">
        <v>122</v>
      </c>
      <c r="J276" s="8">
        <v>27265</v>
      </c>
      <c r="K276" s="5">
        <f t="shared" si="13"/>
        <v>5.1346516007532959</v>
      </c>
      <c r="L276" s="5">
        <v>3.2895483870967701</v>
      </c>
      <c r="M276" s="5">
        <v>59.4047196</v>
      </c>
      <c r="N276" s="5">
        <v>26.020051200000001</v>
      </c>
      <c r="O276" s="5">
        <f t="shared" si="14"/>
        <v>0.56198680213953911</v>
      </c>
      <c r="P276" s="5">
        <v>0.83935649032258097</v>
      </c>
      <c r="Q276" s="5">
        <v>0.82531370322580599</v>
      </c>
    </row>
    <row r="277" spans="1:17" ht="15.5" x14ac:dyDescent="0.35">
      <c r="A277" s="3" t="s">
        <v>349</v>
      </c>
      <c r="B277" s="3" t="s">
        <v>224</v>
      </c>
      <c r="C277" s="5">
        <v>4</v>
      </c>
      <c r="D277" s="5">
        <v>0</v>
      </c>
      <c r="E277" s="8">
        <v>320</v>
      </c>
      <c r="F277" s="8">
        <v>4381</v>
      </c>
      <c r="G277" s="5">
        <f t="shared" si="12"/>
        <v>7.3042684318648715E-2</v>
      </c>
      <c r="H277" s="8">
        <v>1428</v>
      </c>
      <c r="I277" s="8">
        <v>72</v>
      </c>
      <c r="J277" s="8">
        <v>18514</v>
      </c>
      <c r="K277" s="5">
        <f t="shared" si="13"/>
        <v>5.7856249999999996</v>
      </c>
      <c r="L277" s="5">
        <v>3.9682258064516098</v>
      </c>
      <c r="M277" s="5">
        <v>34.809523200000001</v>
      </c>
      <c r="N277" s="5">
        <v>16.0695576</v>
      </c>
      <c r="O277" s="5">
        <f t="shared" si="14"/>
        <v>0.53835743432417948</v>
      </c>
      <c r="P277" s="5">
        <v>0.51837282580645205</v>
      </c>
      <c r="Q277" s="5">
        <v>0.53304584516129006</v>
      </c>
    </row>
    <row r="278" spans="1:17" ht="15.5" x14ac:dyDescent="0.35">
      <c r="A278" s="3" t="s">
        <v>349</v>
      </c>
      <c r="B278" s="3" t="s">
        <v>225</v>
      </c>
      <c r="C278" s="5">
        <v>4</v>
      </c>
      <c r="D278" s="5">
        <v>0</v>
      </c>
      <c r="E278" s="8">
        <v>342</v>
      </c>
      <c r="F278" s="8">
        <v>5747</v>
      </c>
      <c r="G278" s="5">
        <f t="shared" si="12"/>
        <v>5.9509309204802505E-2</v>
      </c>
      <c r="H278" s="8">
        <v>778</v>
      </c>
      <c r="I278" s="8">
        <v>51</v>
      </c>
      <c r="J278" s="8">
        <v>12992</v>
      </c>
      <c r="K278" s="5">
        <f t="shared" si="13"/>
        <v>3.7988304093567251</v>
      </c>
      <c r="L278" s="5">
        <v>3.8787451612903201</v>
      </c>
      <c r="M278" s="5">
        <v>41.951196000000003</v>
      </c>
      <c r="N278" s="5">
        <v>19.8494712</v>
      </c>
      <c r="O278" s="5">
        <f t="shared" si="14"/>
        <v>0.52684373527753536</v>
      </c>
      <c r="P278" s="5">
        <v>0.64030552258064499</v>
      </c>
      <c r="Q278" s="5">
        <v>0.69067184516128999</v>
      </c>
    </row>
    <row r="279" spans="1:17" ht="15.5" x14ac:dyDescent="0.35">
      <c r="A279" s="3" t="s">
        <v>349</v>
      </c>
      <c r="B279" s="3" t="s">
        <v>226</v>
      </c>
      <c r="C279" s="5">
        <v>16</v>
      </c>
      <c r="D279" s="5">
        <v>1</v>
      </c>
      <c r="E279" s="8">
        <v>659</v>
      </c>
      <c r="F279" s="8">
        <v>16587</v>
      </c>
      <c r="G279" s="5">
        <f t="shared" si="12"/>
        <v>3.9729908964851991E-2</v>
      </c>
      <c r="H279" s="8">
        <v>2042</v>
      </c>
      <c r="I279" s="15">
        <v>125</v>
      </c>
      <c r="J279" s="8">
        <v>34773</v>
      </c>
      <c r="K279" s="5">
        <f t="shared" si="13"/>
        <v>5.2766312594840663</v>
      </c>
      <c r="L279" s="5">
        <v>3.9337548387096799</v>
      </c>
      <c r="M279" s="5">
        <v>54.6864372</v>
      </c>
      <c r="N279" s="5">
        <v>25.186431599999999</v>
      </c>
      <c r="O279" s="5">
        <f t="shared" si="14"/>
        <v>0.53943915731997993</v>
      </c>
      <c r="P279" s="5">
        <v>0.81246553548387102</v>
      </c>
      <c r="Q279" s="5">
        <v>0.75054809032258096</v>
      </c>
    </row>
    <row r="280" spans="1:17" ht="15.5" x14ac:dyDescent="0.35">
      <c r="A280" s="3" t="s">
        <v>349</v>
      </c>
      <c r="B280" s="3" t="s">
        <v>227</v>
      </c>
      <c r="C280" s="5">
        <v>4</v>
      </c>
      <c r="D280" s="5">
        <v>0</v>
      </c>
      <c r="E280" s="8">
        <v>362</v>
      </c>
      <c r="F280" s="8">
        <v>5322</v>
      </c>
      <c r="G280" s="5">
        <f t="shared" si="12"/>
        <v>6.8019541525742203E-2</v>
      </c>
      <c r="H280" s="8">
        <v>1346</v>
      </c>
      <c r="I280" s="8">
        <v>76</v>
      </c>
      <c r="J280" s="8">
        <v>14823</v>
      </c>
      <c r="K280" s="5">
        <f t="shared" si="13"/>
        <v>4.0947513812154694</v>
      </c>
      <c r="L280" s="5">
        <v>3.77648064516129</v>
      </c>
      <c r="M280" s="5">
        <v>40.574163599999999</v>
      </c>
      <c r="N280" s="5">
        <v>18.324370800000001</v>
      </c>
      <c r="O280" s="5">
        <f t="shared" si="14"/>
        <v>0.5483734185958673</v>
      </c>
      <c r="P280" s="5">
        <v>0.591108735483871</v>
      </c>
      <c r="Q280" s="5">
        <v>0.59819283870967699</v>
      </c>
    </row>
    <row r="281" spans="1:17" s="16" customFormat="1" ht="15.5" x14ac:dyDescent="0.35">
      <c r="A281" s="13" t="s">
        <v>349</v>
      </c>
      <c r="B281" s="13" t="s">
        <v>228</v>
      </c>
      <c r="C281" s="14">
        <v>11</v>
      </c>
      <c r="D281" s="14">
        <v>2</v>
      </c>
      <c r="E281" s="15">
        <v>95</v>
      </c>
      <c r="F281" s="15">
        <v>83016</v>
      </c>
      <c r="G281" s="14">
        <f t="shared" si="12"/>
        <v>1.1443577141755806E-3</v>
      </c>
      <c r="H281" s="15">
        <v>390</v>
      </c>
      <c r="I281" s="15">
        <v>41</v>
      </c>
      <c r="J281" s="15">
        <v>5121</v>
      </c>
      <c r="K281" s="14">
        <f t="shared" si="13"/>
        <v>5.3905263157894741</v>
      </c>
      <c r="L281" s="14">
        <v>2.6848000000000001</v>
      </c>
      <c r="M281" s="14">
        <v>9.9953675999999998</v>
      </c>
      <c r="N281" s="14">
        <v>3.2553252000000001</v>
      </c>
      <c r="O281" s="14">
        <f t="shared" si="14"/>
        <v>0.67431661042661406</v>
      </c>
      <c r="P281" s="14">
        <v>0.105010490322581</v>
      </c>
      <c r="Q281" s="14">
        <v>0.12551028387096799</v>
      </c>
    </row>
    <row r="282" spans="1:17" ht="15.5" x14ac:dyDescent="0.35">
      <c r="A282" s="3" t="s">
        <v>349</v>
      </c>
      <c r="B282" s="3" t="s">
        <v>229</v>
      </c>
      <c r="C282" s="5">
        <v>3</v>
      </c>
      <c r="D282" s="5">
        <v>0</v>
      </c>
      <c r="E282" s="8">
        <v>153</v>
      </c>
      <c r="F282" s="8">
        <v>15046</v>
      </c>
      <c r="G282" s="5">
        <f t="shared" si="12"/>
        <v>1.0168815632061677E-2</v>
      </c>
      <c r="H282" s="8">
        <v>724</v>
      </c>
      <c r="I282" s="8">
        <v>45</v>
      </c>
      <c r="J282" s="8">
        <v>11262</v>
      </c>
      <c r="K282" s="5">
        <f t="shared" si="13"/>
        <v>7.3607843137254907</v>
      </c>
      <c r="L282" s="5">
        <v>3.0353451612903202</v>
      </c>
      <c r="M282" s="5">
        <v>16.1615088</v>
      </c>
      <c r="N282" s="5">
        <v>5.9358744000000003</v>
      </c>
      <c r="O282" s="5">
        <f t="shared" si="14"/>
        <v>0.63271533162794791</v>
      </c>
      <c r="P282" s="5">
        <v>0.19147981935483899</v>
      </c>
      <c r="Q282" s="5">
        <v>0.24804185806451601</v>
      </c>
    </row>
    <row r="283" spans="1:17" ht="15.5" x14ac:dyDescent="0.35">
      <c r="A283" s="3" t="s">
        <v>25</v>
      </c>
      <c r="B283" s="3" t="s">
        <v>25</v>
      </c>
      <c r="C283" s="5">
        <v>26</v>
      </c>
      <c r="D283" s="5">
        <v>1</v>
      </c>
      <c r="E283" s="8">
        <v>1108</v>
      </c>
      <c r="F283" s="8">
        <v>11967</v>
      </c>
      <c r="G283" s="5">
        <f t="shared" si="12"/>
        <v>9.2587950196373364E-2</v>
      </c>
      <c r="H283" s="8">
        <v>14104</v>
      </c>
      <c r="I283" s="15">
        <v>441</v>
      </c>
      <c r="J283" s="8">
        <v>60990</v>
      </c>
      <c r="K283" s="5">
        <f t="shared" si="13"/>
        <v>5.5045126353790614</v>
      </c>
      <c r="L283" s="5">
        <v>2.2247064516128998</v>
      </c>
      <c r="M283" s="5">
        <v>122.42988</v>
      </c>
      <c r="N283" s="5">
        <v>45.233899200000003</v>
      </c>
      <c r="O283" s="5">
        <f t="shared" si="14"/>
        <v>0.63053219361155954</v>
      </c>
      <c r="P283" s="5">
        <v>1.4591580387096801</v>
      </c>
      <c r="Q283" s="5">
        <v>1.3752713032258099</v>
      </c>
    </row>
    <row r="284" spans="1:17" ht="15.5" x14ac:dyDescent="0.35">
      <c r="A284" s="3" t="s">
        <v>70</v>
      </c>
      <c r="B284" s="3" t="s">
        <v>71</v>
      </c>
      <c r="C284" s="5">
        <v>3</v>
      </c>
      <c r="D284" s="5">
        <v>1</v>
      </c>
      <c r="E284" s="8">
        <v>56</v>
      </c>
      <c r="F284" s="8">
        <v>29518</v>
      </c>
      <c r="G284" s="5">
        <f t="shared" si="12"/>
        <v>1.8971475032183752E-3</v>
      </c>
      <c r="H284" s="8">
        <v>618</v>
      </c>
      <c r="I284" s="8">
        <v>27</v>
      </c>
      <c r="J284" s="8">
        <v>3368</v>
      </c>
      <c r="K284" s="5">
        <f t="shared" si="13"/>
        <v>6.0142857142857142</v>
      </c>
      <c r="L284" s="5">
        <v>2.1221290322580599</v>
      </c>
      <c r="M284" s="5">
        <v>10.1496564</v>
      </c>
      <c r="N284" s="5">
        <v>5.2379135999999997</v>
      </c>
      <c r="O284" s="5">
        <f t="shared" si="14"/>
        <v>0.48393192896658055</v>
      </c>
      <c r="P284" s="5">
        <v>0.16896495483870999</v>
      </c>
      <c r="Q284" s="5">
        <v>0.12978290322580599</v>
      </c>
    </row>
    <row r="285" spans="1:17" ht="15.5" x14ac:dyDescent="0.35">
      <c r="A285" s="3" t="s">
        <v>351</v>
      </c>
      <c r="B285" s="3" t="s">
        <v>190</v>
      </c>
      <c r="C285" s="5">
        <v>4</v>
      </c>
      <c r="D285" s="5">
        <v>1</v>
      </c>
      <c r="E285" s="8">
        <v>227</v>
      </c>
      <c r="F285" s="8">
        <v>13788</v>
      </c>
      <c r="G285" s="5">
        <f t="shared" si="12"/>
        <v>1.646359152886568E-2</v>
      </c>
      <c r="H285" s="8">
        <v>3413</v>
      </c>
      <c r="I285" s="8">
        <v>137</v>
      </c>
      <c r="J285" s="8">
        <v>29400</v>
      </c>
      <c r="K285" s="5">
        <f t="shared" si="13"/>
        <v>12.951541850220265</v>
      </c>
      <c r="L285" s="5">
        <v>1.25135483870968</v>
      </c>
      <c r="M285" s="5">
        <v>49.381002000000002</v>
      </c>
      <c r="N285" s="5">
        <v>19.403031599999998</v>
      </c>
      <c r="O285" s="5">
        <f t="shared" si="14"/>
        <v>0.60707497186873605</v>
      </c>
      <c r="P285" s="5">
        <v>0.62590424516128995</v>
      </c>
      <c r="Q285" s="5">
        <v>0.49126447741935497</v>
      </c>
    </row>
    <row r="286" spans="1:17" s="16" customFormat="1" ht="15.5" x14ac:dyDescent="0.35">
      <c r="A286" s="13" t="s">
        <v>351</v>
      </c>
      <c r="B286" s="13" t="s">
        <v>191</v>
      </c>
      <c r="C286" s="14">
        <v>4</v>
      </c>
      <c r="D286" s="14">
        <v>3</v>
      </c>
      <c r="E286" s="15">
        <v>456</v>
      </c>
      <c r="F286" s="15">
        <v>56500</v>
      </c>
      <c r="G286" s="14">
        <f t="shared" si="12"/>
        <v>8.0707964601769919E-3</v>
      </c>
      <c r="H286" s="15">
        <v>2227</v>
      </c>
      <c r="I286" s="15">
        <v>113</v>
      </c>
      <c r="J286" s="15">
        <v>16644</v>
      </c>
      <c r="K286" s="14">
        <f t="shared" si="13"/>
        <v>3.65</v>
      </c>
      <c r="L286" s="14">
        <v>1.63445161290323</v>
      </c>
      <c r="M286" s="14">
        <v>12.6341532</v>
      </c>
      <c r="N286" s="14">
        <v>4.1354388000000002</v>
      </c>
      <c r="O286" s="14">
        <f t="shared" si="14"/>
        <v>0.6726778016274173</v>
      </c>
      <c r="P286" s="14">
        <v>0.133401251612903</v>
      </c>
      <c r="Q286" s="14">
        <v>0.137669690322581</v>
      </c>
    </row>
    <row r="287" spans="1:17" s="16" customFormat="1" ht="15.5" x14ac:dyDescent="0.35">
      <c r="A287" s="13" t="s">
        <v>351</v>
      </c>
      <c r="B287" s="13" t="s">
        <v>13</v>
      </c>
      <c r="C287" s="14">
        <v>5</v>
      </c>
      <c r="D287" s="14">
        <v>1</v>
      </c>
      <c r="E287" s="15">
        <v>63</v>
      </c>
      <c r="F287" s="15">
        <v>69764</v>
      </c>
      <c r="G287" s="14">
        <f t="shared" si="12"/>
        <v>9.0304455019780971E-4</v>
      </c>
      <c r="H287" s="15">
        <v>384</v>
      </c>
      <c r="I287" s="15">
        <v>20</v>
      </c>
      <c r="J287" s="15">
        <v>3143</v>
      </c>
      <c r="K287" s="14">
        <f t="shared" si="13"/>
        <v>4.9888888888888889</v>
      </c>
      <c r="L287" s="14">
        <v>1.864351613</v>
      </c>
      <c r="M287" s="14">
        <v>4.7615363999999998</v>
      </c>
      <c r="N287" s="14">
        <v>1.5847811999999999</v>
      </c>
      <c r="O287" s="14">
        <f t="shared" si="14"/>
        <v>0.66717020161811635</v>
      </c>
      <c r="P287" s="14">
        <v>5.11219741935484E-2</v>
      </c>
      <c r="Q287" s="14">
        <v>6.0766722580645201E-2</v>
      </c>
    </row>
    <row r="288" spans="1:17" s="16" customFormat="1" ht="15.5" x14ac:dyDescent="0.35">
      <c r="A288" s="13" t="s">
        <v>351</v>
      </c>
      <c r="B288" s="13" t="s">
        <v>192</v>
      </c>
      <c r="C288" s="14">
        <v>8</v>
      </c>
      <c r="D288" s="14">
        <v>1</v>
      </c>
      <c r="E288" s="15">
        <v>91</v>
      </c>
      <c r="F288" s="15">
        <v>105000</v>
      </c>
      <c r="G288" s="14">
        <f t="shared" si="12"/>
        <v>8.6666666666666663E-4</v>
      </c>
      <c r="H288" s="15">
        <v>697</v>
      </c>
      <c r="I288" s="15">
        <v>95</v>
      </c>
      <c r="J288" s="15">
        <v>5920</v>
      </c>
      <c r="K288" s="14">
        <f t="shared" si="13"/>
        <v>6.5054945054945055</v>
      </c>
      <c r="L288" s="14">
        <v>1.5359935483870999</v>
      </c>
      <c r="M288" s="14">
        <v>13.655271600000001</v>
      </c>
      <c r="N288" s="14">
        <v>4.2898247999999999</v>
      </c>
      <c r="O288" s="14">
        <f t="shared" si="14"/>
        <v>0.68584844551901847</v>
      </c>
      <c r="P288" s="14">
        <v>0.13838144516129</v>
      </c>
      <c r="Q288" s="14">
        <v>0.16196132903225799</v>
      </c>
    </row>
    <row r="289" spans="1:17" s="16" customFormat="1" ht="15.5" x14ac:dyDescent="0.35">
      <c r="A289" s="13" t="s">
        <v>351</v>
      </c>
      <c r="B289" s="13" t="s">
        <v>193</v>
      </c>
      <c r="C289" s="14">
        <v>13</v>
      </c>
      <c r="D289" s="14">
        <v>4</v>
      </c>
      <c r="E289" s="15">
        <v>129</v>
      </c>
      <c r="F289" s="15">
        <v>471500</v>
      </c>
      <c r="G289" s="14">
        <f t="shared" si="12"/>
        <v>2.7359490986214211E-4</v>
      </c>
      <c r="H289" s="15">
        <v>1149</v>
      </c>
      <c r="I289" s="15">
        <v>53</v>
      </c>
      <c r="J289" s="15">
        <v>9903</v>
      </c>
      <c r="K289" s="14">
        <f t="shared" si="13"/>
        <v>7.6767441860465118</v>
      </c>
      <c r="L289" s="14">
        <v>1.4807064516129</v>
      </c>
      <c r="M289" s="14">
        <v>9.4519871999999996</v>
      </c>
      <c r="N289" s="14">
        <v>3.3139691999999998</v>
      </c>
      <c r="O289" s="14">
        <f t="shared" si="14"/>
        <v>0.64938915702298039</v>
      </c>
      <c r="P289" s="14">
        <v>0.106902232258065</v>
      </c>
      <c r="Q289" s="14">
        <v>0.105025122580645</v>
      </c>
    </row>
    <row r="290" spans="1:17" s="16" customFormat="1" ht="15.5" x14ac:dyDescent="0.35">
      <c r="A290" s="13" t="s">
        <v>351</v>
      </c>
      <c r="B290" s="13" t="s">
        <v>194</v>
      </c>
      <c r="C290" s="14">
        <v>3</v>
      </c>
      <c r="D290" s="14">
        <v>1</v>
      </c>
      <c r="E290" s="15">
        <v>139</v>
      </c>
      <c r="F290" s="15">
        <v>73500</v>
      </c>
      <c r="G290" s="14">
        <f t="shared" si="12"/>
        <v>1.891156462585034E-3</v>
      </c>
      <c r="H290" s="15">
        <v>1325</v>
      </c>
      <c r="I290" s="15">
        <v>52</v>
      </c>
      <c r="J290" s="15">
        <v>9712</v>
      </c>
      <c r="K290" s="14">
        <f t="shared" si="13"/>
        <v>6.9870503597122307</v>
      </c>
      <c r="L290" s="14">
        <v>1.67755161290323</v>
      </c>
      <c r="M290" s="14">
        <v>24.610359599999999</v>
      </c>
      <c r="N290" s="14">
        <v>8.1266651999999997</v>
      </c>
      <c r="O290" s="14">
        <f t="shared" si="14"/>
        <v>0.66978681611787583</v>
      </c>
      <c r="P290" s="14">
        <v>0.26215049032258098</v>
      </c>
      <c r="Q290" s="14">
        <v>0.27257179354838701</v>
      </c>
    </row>
    <row r="291" spans="1:17" ht="15.5" x14ac:dyDescent="0.35">
      <c r="A291" s="3" t="s">
        <v>351</v>
      </c>
      <c r="B291" s="3" t="s">
        <v>14</v>
      </c>
      <c r="C291" s="5">
        <v>2</v>
      </c>
      <c r="D291" s="5">
        <v>2</v>
      </c>
      <c r="E291" s="8">
        <v>31</v>
      </c>
      <c r="F291" s="8">
        <v>7735</v>
      </c>
      <c r="G291" s="5">
        <f t="shared" si="12"/>
        <v>4.0077569489334192E-3</v>
      </c>
      <c r="H291" s="8">
        <v>973</v>
      </c>
      <c r="I291" s="8">
        <v>20</v>
      </c>
      <c r="J291" s="8">
        <v>2383</v>
      </c>
      <c r="K291" s="5">
        <f t="shared" si="13"/>
        <v>7.6870967741935488</v>
      </c>
      <c r="L291" s="5">
        <v>1.4614645161290301</v>
      </c>
      <c r="M291" s="5">
        <v>6.0912324</v>
      </c>
      <c r="N291" s="5">
        <v>2.2545215999999999</v>
      </c>
      <c r="O291" s="5">
        <f t="shared" si="14"/>
        <v>0.6298743091792065</v>
      </c>
      <c r="P291" s="5">
        <v>7.2726503225806496E-2</v>
      </c>
      <c r="Q291" s="5">
        <v>6.16812387096774E-2</v>
      </c>
    </row>
    <row r="292" spans="1:17" ht="15.5" x14ac:dyDescent="0.35">
      <c r="A292" s="13" t="s">
        <v>351</v>
      </c>
      <c r="B292" s="13" t="s">
        <v>15</v>
      </c>
      <c r="C292" s="14">
        <v>5</v>
      </c>
      <c r="D292" s="14">
        <v>2</v>
      </c>
      <c r="E292" s="15">
        <v>256</v>
      </c>
      <c r="F292" s="15">
        <v>127817</v>
      </c>
      <c r="G292" s="14">
        <f t="shared" si="12"/>
        <v>2.0028634688656439E-3</v>
      </c>
      <c r="H292" s="15">
        <v>921</v>
      </c>
      <c r="I292" s="15">
        <v>56</v>
      </c>
      <c r="J292" s="15">
        <v>16072</v>
      </c>
      <c r="K292" s="14">
        <f t="shared" si="13"/>
        <v>6.2781250000000002</v>
      </c>
      <c r="L292" s="14">
        <v>1.9814645161290301</v>
      </c>
      <c r="M292" s="14">
        <v>8.2695492000000002</v>
      </c>
      <c r="N292" s="14">
        <v>2.7088019999999999</v>
      </c>
      <c r="O292" s="14">
        <f t="shared" si="14"/>
        <v>0.67243655796860125</v>
      </c>
      <c r="P292" s="14">
        <v>8.7380709677419399E-2</v>
      </c>
      <c r="Q292" s="14">
        <v>8.8320309677419398E-2</v>
      </c>
    </row>
    <row r="293" spans="1:17" ht="15.5" x14ac:dyDescent="0.35">
      <c r="A293" s="3" t="s">
        <v>350</v>
      </c>
      <c r="B293" s="3" t="s">
        <v>195</v>
      </c>
      <c r="C293" s="5">
        <v>2</v>
      </c>
      <c r="D293" s="5">
        <v>2</v>
      </c>
      <c r="E293" s="8">
        <v>241</v>
      </c>
      <c r="F293" s="8">
        <v>23620</v>
      </c>
      <c r="G293" s="5">
        <f t="shared" si="12"/>
        <v>1.0203217612193057E-2</v>
      </c>
      <c r="H293" s="8">
        <v>759</v>
      </c>
      <c r="I293" s="8">
        <v>53</v>
      </c>
      <c r="J293" s="8">
        <v>9580</v>
      </c>
      <c r="K293" s="5">
        <f t="shared" si="13"/>
        <v>3.9751037344398341</v>
      </c>
      <c r="L293" s="5">
        <v>4.2485870967741901</v>
      </c>
      <c r="M293" s="5">
        <v>11.079147600000001</v>
      </c>
      <c r="N293" s="5">
        <v>4.7540196000000003</v>
      </c>
      <c r="O293" s="5">
        <f t="shared" si="14"/>
        <v>0.57090384823467821</v>
      </c>
      <c r="P293" s="5">
        <v>0.15335547096774199</v>
      </c>
      <c r="Q293" s="5">
        <v>0.15004858064516099</v>
      </c>
    </row>
    <row r="294" spans="1:17" ht="15.5" x14ac:dyDescent="0.35">
      <c r="A294" s="3" t="s">
        <v>350</v>
      </c>
      <c r="B294" s="3" t="s">
        <v>196</v>
      </c>
      <c r="C294" s="5">
        <v>1</v>
      </c>
      <c r="D294" s="5">
        <v>2</v>
      </c>
      <c r="E294" s="8">
        <v>123</v>
      </c>
      <c r="F294" s="8">
        <v>20554</v>
      </c>
      <c r="G294" s="5">
        <f t="shared" si="12"/>
        <v>5.9842366449352922E-3</v>
      </c>
      <c r="H294" s="8">
        <v>473</v>
      </c>
      <c r="I294" s="8">
        <v>38</v>
      </c>
      <c r="J294" s="8">
        <v>5699</v>
      </c>
      <c r="K294" s="5">
        <f t="shared" si="13"/>
        <v>4.6333333333333329</v>
      </c>
      <c r="L294" s="5">
        <v>2.8167774193548398</v>
      </c>
      <c r="M294" s="5">
        <v>21.243092399999998</v>
      </c>
      <c r="N294" s="5">
        <v>6.1077887999999998</v>
      </c>
      <c r="O294" s="5">
        <f t="shared" si="14"/>
        <v>0.71248118282439887</v>
      </c>
      <c r="P294" s="5">
        <v>0.19702544516129</v>
      </c>
      <c r="Q294" s="5">
        <v>0.17127685161290301</v>
      </c>
    </row>
    <row r="295" spans="1:17" ht="15.5" x14ac:dyDescent="0.35">
      <c r="A295" s="3" t="s">
        <v>350</v>
      </c>
      <c r="B295" s="3" t="s">
        <v>197</v>
      </c>
      <c r="C295" s="5">
        <v>1</v>
      </c>
      <c r="D295" s="5">
        <v>2</v>
      </c>
      <c r="E295" s="8">
        <v>264</v>
      </c>
      <c r="F295" s="8">
        <v>19637</v>
      </c>
      <c r="G295" s="5">
        <f t="shared" si="12"/>
        <v>1.3444008758975404E-2</v>
      </c>
      <c r="H295" s="8">
        <v>961</v>
      </c>
      <c r="I295" s="8">
        <v>57</v>
      </c>
      <c r="J295" s="8">
        <v>10699</v>
      </c>
      <c r="K295" s="5">
        <f t="shared" si="13"/>
        <v>4.0526515151515152</v>
      </c>
      <c r="L295" s="5">
        <v>3.3535774193548402</v>
      </c>
      <c r="M295" s="5">
        <v>18.260445600000001</v>
      </c>
      <c r="N295" s="5">
        <v>6.0158699999999996</v>
      </c>
      <c r="O295" s="5">
        <f t="shared" si="14"/>
        <v>0.67055185115526428</v>
      </c>
      <c r="P295" s="5">
        <v>0.19406032258064501</v>
      </c>
      <c r="Q295" s="5">
        <v>0.18749357419354801</v>
      </c>
    </row>
    <row r="296" spans="1:17" ht="15.5" x14ac:dyDescent="0.35">
      <c r="A296" s="13" t="s">
        <v>350</v>
      </c>
      <c r="B296" s="13" t="s">
        <v>198</v>
      </c>
      <c r="C296" s="14">
        <v>8</v>
      </c>
      <c r="D296" s="14">
        <v>1</v>
      </c>
      <c r="E296" s="15">
        <v>362</v>
      </c>
      <c r="F296" s="15">
        <v>29459</v>
      </c>
      <c r="G296" s="14">
        <f t="shared" si="12"/>
        <v>1.2288265046335584E-2</v>
      </c>
      <c r="H296" s="15">
        <v>1375</v>
      </c>
      <c r="I296" s="15">
        <v>106</v>
      </c>
      <c r="J296" s="15">
        <v>16315</v>
      </c>
      <c r="K296" s="14">
        <f t="shared" si="13"/>
        <v>4.5069060773480665</v>
      </c>
      <c r="L296" s="14">
        <v>3.1453548387096801</v>
      </c>
      <c r="M296" s="14">
        <v>36.443066399999999</v>
      </c>
      <c r="N296" s="14">
        <v>11.7766872</v>
      </c>
      <c r="O296" s="14">
        <f t="shared" si="14"/>
        <v>0.67684697355763679</v>
      </c>
      <c r="P296" s="14">
        <v>0.37989313548387099</v>
      </c>
      <c r="Q296" s="14">
        <v>0.39837785806451598</v>
      </c>
    </row>
    <row r="297" spans="1:17" ht="15.5" x14ac:dyDescent="0.35">
      <c r="A297" s="13" t="s">
        <v>350</v>
      </c>
      <c r="B297" s="13" t="s">
        <v>199</v>
      </c>
      <c r="C297" s="14">
        <v>0</v>
      </c>
      <c r="D297" s="14">
        <v>1</v>
      </c>
      <c r="E297" s="15">
        <v>132</v>
      </c>
      <c r="F297" s="15">
        <v>11172</v>
      </c>
      <c r="G297" s="14">
        <f t="shared" si="12"/>
        <v>1.1815252416756176E-2</v>
      </c>
      <c r="H297" s="15">
        <v>514</v>
      </c>
      <c r="I297" s="15">
        <v>37</v>
      </c>
      <c r="J297" s="15">
        <v>9809</v>
      </c>
      <c r="K297" s="14">
        <f t="shared" si="13"/>
        <v>7.4310606060606057</v>
      </c>
      <c r="L297" s="14">
        <v>2.6286096774193499</v>
      </c>
      <c r="M297" s="14">
        <v>10.3174884</v>
      </c>
      <c r="N297" s="14">
        <v>3.3309144000000002</v>
      </c>
      <c r="O297" s="14">
        <f t="shared" si="14"/>
        <v>0.67715840610976596</v>
      </c>
      <c r="P297" s="14">
        <v>0.107448851612903</v>
      </c>
      <c r="Q297" s="14">
        <v>9.9761690322580601E-2</v>
      </c>
    </row>
    <row r="298" spans="1:17" ht="15.5" x14ac:dyDescent="0.35">
      <c r="A298" s="13" t="s">
        <v>350</v>
      </c>
      <c r="B298" s="13" t="s">
        <v>200</v>
      </c>
      <c r="C298" s="14">
        <v>4</v>
      </c>
      <c r="D298" s="14">
        <v>1</v>
      </c>
      <c r="E298" s="15">
        <v>367</v>
      </c>
      <c r="F298" s="15">
        <v>31456</v>
      </c>
      <c r="G298" s="14">
        <f t="shared" si="12"/>
        <v>1.1667090539165819E-2</v>
      </c>
      <c r="H298" s="15">
        <v>1082</v>
      </c>
      <c r="I298" s="15">
        <v>59</v>
      </c>
      <c r="J298" s="15">
        <v>20785</v>
      </c>
      <c r="K298" s="14">
        <f t="shared" si="13"/>
        <v>5.6634877384196187</v>
      </c>
      <c r="L298" s="14">
        <v>4.4951774193548397</v>
      </c>
      <c r="M298" s="14">
        <v>21.7478844</v>
      </c>
      <c r="N298" s="14">
        <v>7.5863303999999996</v>
      </c>
      <c r="O298" s="14">
        <f t="shared" si="14"/>
        <v>0.65116926959571297</v>
      </c>
      <c r="P298" s="14">
        <v>0.24472033548387101</v>
      </c>
      <c r="Q298" s="14">
        <v>0.23726310967741901</v>
      </c>
    </row>
    <row r="299" spans="1:17" ht="15.5" x14ac:dyDescent="0.35">
      <c r="A299" s="3" t="s">
        <v>350</v>
      </c>
      <c r="B299" s="3" t="s">
        <v>201</v>
      </c>
      <c r="C299" s="5">
        <v>22</v>
      </c>
      <c r="D299" s="5">
        <v>1</v>
      </c>
      <c r="E299" s="8">
        <v>578</v>
      </c>
      <c r="F299" s="8">
        <v>21013</v>
      </c>
      <c r="G299" s="5">
        <f t="shared" si="12"/>
        <v>2.7506781516204254E-2</v>
      </c>
      <c r="H299" s="8">
        <v>6476</v>
      </c>
      <c r="I299" s="8">
        <v>314</v>
      </c>
      <c r="J299" s="8">
        <v>56598</v>
      </c>
      <c r="K299" s="5">
        <f t="shared" si="13"/>
        <v>9.7920415224913508</v>
      </c>
      <c r="L299" s="5">
        <v>2.0387677419354802</v>
      </c>
      <c r="M299" s="5">
        <v>124.56215640000001</v>
      </c>
      <c r="N299" s="5">
        <v>53.153787600000001</v>
      </c>
      <c r="O299" s="5">
        <f t="shared" si="14"/>
        <v>0.57327498867866422</v>
      </c>
      <c r="P299" s="5">
        <v>1.71463830967742</v>
      </c>
      <c r="Q299" s="5">
        <v>1.69475620645161</v>
      </c>
    </row>
    <row r="300" spans="1:17" ht="15.5" x14ac:dyDescent="0.35">
      <c r="A300" s="3" t="s">
        <v>350</v>
      </c>
      <c r="B300" s="3" t="s">
        <v>202</v>
      </c>
      <c r="C300" s="5">
        <v>6</v>
      </c>
      <c r="D300" s="5">
        <v>1</v>
      </c>
      <c r="E300" s="8">
        <v>629</v>
      </c>
      <c r="F300" s="8">
        <v>22439</v>
      </c>
      <c r="G300" s="5">
        <f t="shared" si="12"/>
        <v>2.8031552208208924E-2</v>
      </c>
      <c r="H300" s="8">
        <v>1194</v>
      </c>
      <c r="I300" s="8">
        <v>158</v>
      </c>
      <c r="J300" s="8">
        <v>24083</v>
      </c>
      <c r="K300" s="5">
        <f t="shared" si="13"/>
        <v>3.8287758346581877</v>
      </c>
      <c r="L300" s="5">
        <v>4.5669000000000004</v>
      </c>
      <c r="M300" s="5">
        <v>43.433236800000003</v>
      </c>
      <c r="N300" s="5">
        <v>18.663307199999998</v>
      </c>
      <c r="O300" s="5">
        <f t="shared" si="14"/>
        <v>0.57029895593689672</v>
      </c>
      <c r="P300" s="5">
        <v>0.60204216774193597</v>
      </c>
      <c r="Q300" s="5">
        <v>0.62686683870967697</v>
      </c>
    </row>
    <row r="301" spans="1:17" ht="15.5" x14ac:dyDescent="0.35">
      <c r="A301" s="3" t="s">
        <v>350</v>
      </c>
      <c r="B301" s="3" t="s">
        <v>203</v>
      </c>
      <c r="C301" s="5">
        <v>1</v>
      </c>
      <c r="D301" s="5">
        <v>2</v>
      </c>
      <c r="E301" s="8">
        <v>254</v>
      </c>
      <c r="F301" s="8">
        <v>44266</v>
      </c>
      <c r="G301" s="5">
        <f t="shared" si="12"/>
        <v>5.7380382234672213E-3</v>
      </c>
      <c r="H301" s="8">
        <v>875</v>
      </c>
      <c r="I301" s="8">
        <v>62</v>
      </c>
      <c r="J301" s="8">
        <v>12360</v>
      </c>
      <c r="K301" s="5">
        <f t="shared" si="13"/>
        <v>4.8661417322834648</v>
      </c>
      <c r="L301" s="5">
        <v>3.7249741935483902</v>
      </c>
      <c r="M301" s="5">
        <v>15.346940399999999</v>
      </c>
      <c r="N301" s="5">
        <v>6.2842716000000003</v>
      </c>
      <c r="O301" s="5">
        <f t="shared" si="14"/>
        <v>0.59051958004606564</v>
      </c>
      <c r="P301" s="5">
        <v>0.20271843870967701</v>
      </c>
      <c r="Q301" s="5">
        <v>0.20847936774193501</v>
      </c>
    </row>
    <row r="302" spans="1:17" ht="15.5" x14ac:dyDescent="0.35">
      <c r="A302" s="3" t="s">
        <v>350</v>
      </c>
      <c r="B302" s="3" t="s">
        <v>204</v>
      </c>
      <c r="C302" s="5">
        <v>26</v>
      </c>
      <c r="D302" s="5">
        <v>0</v>
      </c>
      <c r="E302" s="8">
        <v>667</v>
      </c>
      <c r="F302" s="8">
        <v>28935</v>
      </c>
      <c r="G302" s="5">
        <f t="shared" si="12"/>
        <v>2.3051667530672195E-2</v>
      </c>
      <c r="H302" s="8">
        <v>2638</v>
      </c>
      <c r="I302" s="8">
        <v>116</v>
      </c>
      <c r="J302" s="8">
        <v>26681</v>
      </c>
      <c r="K302" s="5">
        <f t="shared" si="13"/>
        <v>4.0001499250374808</v>
      </c>
      <c r="L302" s="5">
        <v>4.1581258064516096</v>
      </c>
      <c r="M302" s="5">
        <v>53.195227199999998</v>
      </c>
      <c r="N302" s="5">
        <v>23.886251999999999</v>
      </c>
      <c r="O302" s="5">
        <f t="shared" si="14"/>
        <v>0.5509700163476321</v>
      </c>
      <c r="P302" s="5">
        <v>0.77052425806451597</v>
      </c>
      <c r="Q302" s="5">
        <v>0.83109762580645197</v>
      </c>
    </row>
    <row r="303" spans="1:17" ht="15.5" x14ac:dyDescent="0.35">
      <c r="A303" s="13" t="s">
        <v>350</v>
      </c>
      <c r="B303" s="13" t="s">
        <v>205</v>
      </c>
      <c r="C303" s="14">
        <v>15</v>
      </c>
      <c r="D303" s="14">
        <v>0</v>
      </c>
      <c r="E303" s="15">
        <v>276</v>
      </c>
      <c r="F303" s="15">
        <v>28438</v>
      </c>
      <c r="G303" s="14">
        <f t="shared" si="12"/>
        <v>9.7053238624375832E-3</v>
      </c>
      <c r="H303" s="15">
        <v>1252</v>
      </c>
      <c r="I303" s="15">
        <v>85</v>
      </c>
      <c r="J303" s="15">
        <v>13567</v>
      </c>
      <c r="K303" s="14">
        <f t="shared" si="13"/>
        <v>4.9155797101449279</v>
      </c>
      <c r="L303" s="14">
        <v>3.7878387096774202</v>
      </c>
      <c r="M303" s="14">
        <v>21.411345600000001</v>
      </c>
      <c r="N303" s="14">
        <v>9.0899172000000004</v>
      </c>
      <c r="O303" s="14">
        <f t="shared" si="14"/>
        <v>0.57546259026336011</v>
      </c>
      <c r="P303" s="14">
        <v>0.29322313548387102</v>
      </c>
      <c r="Q303" s="14">
        <v>0.33214494193548399</v>
      </c>
    </row>
    <row r="304" spans="1:17" ht="15.5" x14ac:dyDescent="0.35">
      <c r="A304" s="3" t="s">
        <v>350</v>
      </c>
      <c r="B304" s="3" t="s">
        <v>206</v>
      </c>
      <c r="C304" s="5">
        <v>2</v>
      </c>
      <c r="D304" s="5">
        <v>0</v>
      </c>
      <c r="E304" s="8">
        <v>221</v>
      </c>
      <c r="F304" s="8">
        <v>14942</v>
      </c>
      <c r="G304" s="5">
        <f t="shared" si="12"/>
        <v>1.4790523356980324E-2</v>
      </c>
      <c r="H304" s="8">
        <v>1950</v>
      </c>
      <c r="I304" s="8">
        <v>67</v>
      </c>
      <c r="J304" s="8">
        <v>11117</v>
      </c>
      <c r="K304" s="5">
        <f t="shared" si="13"/>
        <v>5.0303167420814487</v>
      </c>
      <c r="L304" s="5">
        <v>3.31251935483871</v>
      </c>
      <c r="M304" s="5">
        <v>25.7251464</v>
      </c>
      <c r="N304" s="5">
        <v>9.5293907999999998</v>
      </c>
      <c r="O304" s="5">
        <f t="shared" si="14"/>
        <v>0.62956903522228358</v>
      </c>
      <c r="P304" s="5">
        <v>0.30739970322580601</v>
      </c>
      <c r="Q304" s="5">
        <v>0.30759514838709701</v>
      </c>
    </row>
    <row r="305" spans="1:17" s="16" customFormat="1" ht="15.5" x14ac:dyDescent="0.35">
      <c r="A305" s="13" t="s">
        <v>350</v>
      </c>
      <c r="B305" s="13" t="s">
        <v>207</v>
      </c>
      <c r="C305" s="14">
        <v>11</v>
      </c>
      <c r="D305" s="14">
        <v>0</v>
      </c>
      <c r="E305" s="15">
        <v>478</v>
      </c>
      <c r="F305" s="15">
        <v>32931</v>
      </c>
      <c r="G305" s="14">
        <f t="shared" si="12"/>
        <v>1.4515198445233975E-2</v>
      </c>
      <c r="H305" s="15">
        <v>2212</v>
      </c>
      <c r="I305" s="15">
        <v>25</v>
      </c>
      <c r="J305" s="15">
        <v>31014</v>
      </c>
      <c r="K305" s="14">
        <f t="shared" si="13"/>
        <v>6.4882845188284524</v>
      </c>
      <c r="L305" s="14">
        <v>3.7874548387096798</v>
      </c>
      <c r="M305" s="14">
        <v>33.3555408</v>
      </c>
      <c r="N305" s="14">
        <v>12.372685199999999</v>
      </c>
      <c r="O305" s="14">
        <f t="shared" si="14"/>
        <v>0.62906656875429823</v>
      </c>
      <c r="P305" s="14">
        <v>0.39911887741935498</v>
      </c>
      <c r="Q305" s="14">
        <v>0.41222101935483901</v>
      </c>
    </row>
    <row r="306" spans="1:17" s="16" customFormat="1" ht="15.5" x14ac:dyDescent="0.35">
      <c r="A306" s="13" t="s">
        <v>350</v>
      </c>
      <c r="B306" s="13" t="s">
        <v>208</v>
      </c>
      <c r="C306" s="14">
        <v>5</v>
      </c>
      <c r="D306" s="14">
        <v>1</v>
      </c>
      <c r="E306" s="15">
        <v>120</v>
      </c>
      <c r="F306" s="15">
        <v>19096</v>
      </c>
      <c r="G306" s="14">
        <f t="shared" si="12"/>
        <v>6.2840385421030582E-3</v>
      </c>
      <c r="H306" s="15">
        <v>568</v>
      </c>
      <c r="I306" s="15">
        <v>46</v>
      </c>
      <c r="J306" s="15">
        <v>6011</v>
      </c>
      <c r="K306" s="14">
        <f t="shared" si="13"/>
        <v>5.0091666666666672</v>
      </c>
      <c r="L306" s="14">
        <v>2.5438322580645201</v>
      </c>
      <c r="M306" s="14">
        <v>17.400776400000002</v>
      </c>
      <c r="N306" s="14">
        <v>5.8334580000000003</v>
      </c>
      <c r="O306" s="14">
        <f t="shared" si="14"/>
        <v>0.6647587517991439</v>
      </c>
      <c r="P306" s="14">
        <v>0.188176064516129</v>
      </c>
      <c r="Q306" s="14">
        <v>0.130626348387097</v>
      </c>
    </row>
    <row r="307" spans="1:17" s="16" customFormat="1" ht="15.5" x14ac:dyDescent="0.35">
      <c r="A307" s="3" t="s">
        <v>27</v>
      </c>
      <c r="B307" s="3" t="s">
        <v>28</v>
      </c>
      <c r="C307" s="5">
        <v>11</v>
      </c>
      <c r="D307" s="5">
        <v>1</v>
      </c>
      <c r="E307" s="8">
        <v>795</v>
      </c>
      <c r="F307" s="8">
        <v>16853</v>
      </c>
      <c r="G307" s="5">
        <f t="shared" si="12"/>
        <v>4.7172610217765386E-2</v>
      </c>
      <c r="H307" s="8">
        <v>15373</v>
      </c>
      <c r="I307" s="8">
        <v>343</v>
      </c>
      <c r="J307" s="8">
        <v>79957</v>
      </c>
      <c r="K307" s="5">
        <f t="shared" si="13"/>
        <v>10.057484276729559</v>
      </c>
      <c r="L307" s="5">
        <v>1.61853870967742</v>
      </c>
      <c r="M307" s="5">
        <v>187.34988960000001</v>
      </c>
      <c r="N307" s="5">
        <v>61.104942000000001</v>
      </c>
      <c r="O307" s="5">
        <f t="shared" si="14"/>
        <v>0.6738458606489619</v>
      </c>
      <c r="P307" s="5">
        <v>1.9711271612903201</v>
      </c>
      <c r="Q307" s="5">
        <v>1.6453367999999999</v>
      </c>
    </row>
    <row r="308" spans="1:17" s="16" customFormat="1" ht="15.5" x14ac:dyDescent="0.35">
      <c r="A308" s="3" t="s">
        <v>27</v>
      </c>
      <c r="B308" s="3" t="s">
        <v>29</v>
      </c>
      <c r="C308" s="5">
        <v>8</v>
      </c>
      <c r="D308" s="5">
        <v>0</v>
      </c>
      <c r="E308" s="8">
        <v>268</v>
      </c>
      <c r="F308" s="8">
        <v>5820</v>
      </c>
      <c r="G308" s="5">
        <f t="shared" si="12"/>
        <v>4.6048109965635742E-2</v>
      </c>
      <c r="H308" s="8">
        <v>3122</v>
      </c>
      <c r="I308" s="8">
        <v>70</v>
      </c>
      <c r="J308" s="8">
        <v>16925</v>
      </c>
      <c r="K308" s="5">
        <f t="shared" si="13"/>
        <v>6.3152985074626873</v>
      </c>
      <c r="L308" s="5">
        <v>2.2336967741935498</v>
      </c>
      <c r="M308" s="5">
        <v>43.0667604</v>
      </c>
      <c r="N308" s="5">
        <v>11.0747736</v>
      </c>
      <c r="O308" s="5">
        <f t="shared" si="14"/>
        <v>0.74284637392878983</v>
      </c>
      <c r="P308" s="5">
        <v>0.35725076129032302</v>
      </c>
      <c r="Q308" s="5">
        <v>0.34933889032258097</v>
      </c>
    </row>
    <row r="309" spans="1:17" ht="15.5" x14ac:dyDescent="0.35">
      <c r="A309" s="3" t="s">
        <v>27</v>
      </c>
      <c r="B309" s="3" t="s">
        <v>30</v>
      </c>
      <c r="C309" s="5">
        <v>7</v>
      </c>
      <c r="D309" s="5">
        <v>0</v>
      </c>
      <c r="E309" s="8">
        <v>364</v>
      </c>
      <c r="F309" s="8">
        <v>4223</v>
      </c>
      <c r="G309" s="5">
        <f t="shared" si="12"/>
        <v>8.619464835425053E-2</v>
      </c>
      <c r="H309" s="8">
        <v>5370</v>
      </c>
      <c r="I309" s="8">
        <v>87</v>
      </c>
      <c r="J309" s="8">
        <v>23744</v>
      </c>
      <c r="K309" s="5">
        <f t="shared" si="13"/>
        <v>6.523076923076923</v>
      </c>
      <c r="L309" s="5">
        <v>1.9411741935483899</v>
      </c>
      <c r="M309" s="5">
        <v>73.981414799999996</v>
      </c>
      <c r="N309" s="5">
        <v>19.127599199999999</v>
      </c>
      <c r="O309" s="5">
        <f t="shared" si="14"/>
        <v>0.74145399555132596</v>
      </c>
      <c r="P309" s="5">
        <v>0.61701932903225798</v>
      </c>
      <c r="Q309" s="5">
        <v>0.55949469677419394</v>
      </c>
    </row>
    <row r="310" spans="1:17" ht="15.5" x14ac:dyDescent="0.35">
      <c r="A310" s="3" t="s">
        <v>27</v>
      </c>
      <c r="B310" s="3" t="s">
        <v>31</v>
      </c>
      <c r="C310" s="5">
        <v>12</v>
      </c>
      <c r="D310" s="5">
        <v>1</v>
      </c>
      <c r="E310" s="8">
        <v>492</v>
      </c>
      <c r="F310" s="8">
        <v>10942</v>
      </c>
      <c r="G310" s="5">
        <f t="shared" si="12"/>
        <v>4.4964357521476879E-2</v>
      </c>
      <c r="H310" s="8">
        <v>4560</v>
      </c>
      <c r="I310" s="8">
        <v>145</v>
      </c>
      <c r="J310" s="8">
        <v>30305</v>
      </c>
      <c r="K310" s="5">
        <f t="shared" si="13"/>
        <v>6.1595528455284549</v>
      </c>
      <c r="L310" s="5">
        <v>1.5515677419354801</v>
      </c>
      <c r="M310" s="5">
        <v>86.525560799999994</v>
      </c>
      <c r="N310" s="5">
        <v>19.346072400000001</v>
      </c>
      <c r="O310" s="5">
        <f t="shared" si="14"/>
        <v>0.77641205418225967</v>
      </c>
      <c r="P310" s="5">
        <v>0.62406685161290298</v>
      </c>
      <c r="Q310" s="5">
        <v>0.67187461935483905</v>
      </c>
    </row>
    <row r="311" spans="1:17" ht="15.5" x14ac:dyDescent="0.35">
      <c r="A311" s="3" t="s">
        <v>27</v>
      </c>
      <c r="B311" s="3" t="s">
        <v>32</v>
      </c>
      <c r="C311" s="5">
        <v>9</v>
      </c>
      <c r="D311" s="5">
        <v>0</v>
      </c>
      <c r="E311" s="8">
        <v>271</v>
      </c>
      <c r="F311" s="8">
        <v>17275</v>
      </c>
      <c r="G311" s="5">
        <f t="shared" si="12"/>
        <v>1.568740955137482E-2</v>
      </c>
      <c r="H311" s="8">
        <v>1477</v>
      </c>
      <c r="I311" s="8">
        <v>56</v>
      </c>
      <c r="J311" s="8">
        <v>13097</v>
      </c>
      <c r="K311" s="5">
        <f t="shared" si="13"/>
        <v>4.8328413284132843</v>
      </c>
      <c r="L311" s="5">
        <v>2.0820903225806502</v>
      </c>
      <c r="M311" s="5">
        <v>20.565576</v>
      </c>
      <c r="N311" s="5">
        <v>5.1363072000000001</v>
      </c>
      <c r="O311" s="5">
        <f t="shared" si="14"/>
        <v>0.75024734536975768</v>
      </c>
      <c r="P311" s="5">
        <v>0.165687329032258</v>
      </c>
      <c r="Q311" s="5">
        <v>0.182501883870968</v>
      </c>
    </row>
    <row r="312" spans="1:17" ht="15.5" x14ac:dyDescent="0.35">
      <c r="A312" s="3" t="s">
        <v>27</v>
      </c>
      <c r="B312" s="3" t="s">
        <v>33</v>
      </c>
      <c r="C312" s="5">
        <v>7</v>
      </c>
      <c r="D312" s="5">
        <v>1</v>
      </c>
      <c r="E312" s="8">
        <v>608</v>
      </c>
      <c r="F312" s="8">
        <v>9816</v>
      </c>
      <c r="G312" s="5">
        <f t="shared" si="12"/>
        <v>6.1939690301548493E-2</v>
      </c>
      <c r="H312" s="8">
        <v>11985</v>
      </c>
      <c r="I312" s="8">
        <v>180</v>
      </c>
      <c r="J312" s="8">
        <v>37354</v>
      </c>
      <c r="K312" s="5">
        <f t="shared" si="13"/>
        <v>6.1437499999999998</v>
      </c>
      <c r="L312" s="5">
        <v>1.8515935483871</v>
      </c>
      <c r="M312" s="5">
        <v>110.18429999999999</v>
      </c>
      <c r="N312" s="5">
        <v>32.760385200000002</v>
      </c>
      <c r="O312" s="5">
        <f t="shared" si="14"/>
        <v>0.70267646842608245</v>
      </c>
      <c r="P312" s="5">
        <v>1.0567866193548401</v>
      </c>
      <c r="Q312" s="5">
        <v>0.97397953548387095</v>
      </c>
    </row>
    <row r="313" spans="1:17" ht="15.5" x14ac:dyDescent="0.35">
      <c r="A313" s="3" t="s">
        <v>27</v>
      </c>
      <c r="B313" s="3" t="s">
        <v>34</v>
      </c>
      <c r="C313" s="5">
        <v>7</v>
      </c>
      <c r="D313" s="5">
        <v>1</v>
      </c>
      <c r="E313" s="8">
        <v>258</v>
      </c>
      <c r="F313" s="8">
        <v>8845</v>
      </c>
      <c r="G313" s="5">
        <f t="shared" si="12"/>
        <v>2.9169022046353871E-2</v>
      </c>
      <c r="H313" s="8">
        <v>1574</v>
      </c>
      <c r="I313" s="8">
        <v>90</v>
      </c>
      <c r="J313" s="8">
        <v>13363</v>
      </c>
      <c r="K313" s="5">
        <f t="shared" si="13"/>
        <v>5.1794573643410855</v>
      </c>
      <c r="L313" s="5">
        <v>3.12630322580645</v>
      </c>
      <c r="M313" s="5">
        <v>24.2699976</v>
      </c>
      <c r="N313" s="5">
        <v>8.5987007999999996</v>
      </c>
      <c r="O313" s="5">
        <f t="shared" si="14"/>
        <v>0.6457065657064589</v>
      </c>
      <c r="P313" s="5">
        <v>0.27737744516128998</v>
      </c>
      <c r="Q313" s="5">
        <v>0.30054239999999999</v>
      </c>
    </row>
    <row r="314" spans="1:17" ht="15.5" x14ac:dyDescent="0.35">
      <c r="A314" s="3" t="s">
        <v>27</v>
      </c>
      <c r="B314" s="3" t="s">
        <v>35</v>
      </c>
      <c r="C314" s="5">
        <v>9</v>
      </c>
      <c r="D314" s="5">
        <v>0</v>
      </c>
      <c r="E314" s="8">
        <v>448</v>
      </c>
      <c r="F314" s="8">
        <v>8279</v>
      </c>
      <c r="G314" s="5">
        <f t="shared" si="12"/>
        <v>5.4112815557434475E-2</v>
      </c>
      <c r="H314" s="8">
        <v>5781</v>
      </c>
      <c r="I314" s="8">
        <v>89</v>
      </c>
      <c r="J314" s="8">
        <v>22001</v>
      </c>
      <c r="K314" s="5">
        <f t="shared" si="13"/>
        <v>4.9109375000000002</v>
      </c>
      <c r="L314" s="5">
        <v>2.1521645161290301</v>
      </c>
      <c r="M314" s="5">
        <v>69.792289199999999</v>
      </c>
      <c r="N314" s="5">
        <v>16.591359600000001</v>
      </c>
      <c r="O314" s="5">
        <f t="shared" si="14"/>
        <v>0.76227517695464841</v>
      </c>
      <c r="P314" s="5">
        <v>0.53520514838709699</v>
      </c>
      <c r="Q314" s="5">
        <v>0.52881503225806403</v>
      </c>
    </row>
    <row r="315" spans="1:17" s="16" customFormat="1" ht="15.5" x14ac:dyDescent="0.35">
      <c r="A315" s="3" t="s">
        <v>27</v>
      </c>
      <c r="B315" s="3" t="s">
        <v>36</v>
      </c>
      <c r="C315" s="5">
        <v>12</v>
      </c>
      <c r="D315" s="5">
        <v>1</v>
      </c>
      <c r="E315" s="8">
        <v>607</v>
      </c>
      <c r="F315" s="8">
        <v>10050</v>
      </c>
      <c r="G315" s="5">
        <f t="shared" si="12"/>
        <v>6.0398009950248757E-2</v>
      </c>
      <c r="H315" s="8">
        <v>5134</v>
      </c>
      <c r="I315" s="8">
        <v>133</v>
      </c>
      <c r="J315" s="8">
        <v>27762</v>
      </c>
      <c r="K315" s="5">
        <f t="shared" si="13"/>
        <v>4.5736408566721583</v>
      </c>
      <c r="L315" s="5">
        <v>1.7778741935483899</v>
      </c>
      <c r="M315" s="5">
        <v>65.587514400000003</v>
      </c>
      <c r="N315" s="5">
        <v>13.504903199999999</v>
      </c>
      <c r="O315" s="5">
        <f t="shared" si="14"/>
        <v>0.79409338311500344</v>
      </c>
      <c r="P315" s="5">
        <v>0.43564203870967699</v>
      </c>
      <c r="Q315" s="5">
        <v>0.379327703225806</v>
      </c>
    </row>
    <row r="316" spans="1:17" ht="15.5" x14ac:dyDescent="0.35">
      <c r="A316" s="3" t="s">
        <v>27</v>
      </c>
      <c r="B316" s="3" t="s">
        <v>37</v>
      </c>
      <c r="C316" s="5">
        <v>10</v>
      </c>
      <c r="D316" s="5">
        <v>1</v>
      </c>
      <c r="E316" s="8">
        <v>832</v>
      </c>
      <c r="F316" s="8">
        <v>12110</v>
      </c>
      <c r="G316" s="5">
        <f t="shared" si="12"/>
        <v>6.8703550784475639E-2</v>
      </c>
      <c r="H316" s="8">
        <v>6606</v>
      </c>
      <c r="I316" s="8">
        <v>147</v>
      </c>
      <c r="J316" s="8">
        <v>38313</v>
      </c>
      <c r="K316" s="5">
        <f t="shared" si="13"/>
        <v>4.6049278846153845</v>
      </c>
      <c r="L316" s="5">
        <v>2.2336967741935498</v>
      </c>
      <c r="M316" s="5">
        <v>43.0667604</v>
      </c>
      <c r="N316" s="5">
        <v>11.0747736</v>
      </c>
      <c r="O316" s="5">
        <f t="shared" si="14"/>
        <v>0.74284637392878983</v>
      </c>
      <c r="P316" s="5">
        <v>0.35725076129032302</v>
      </c>
      <c r="Q316" s="5">
        <v>0.34933889032258097</v>
      </c>
    </row>
    <row r="317" spans="1:17" ht="15.5" x14ac:dyDescent="0.35">
      <c r="A317" s="3" t="s">
        <v>27</v>
      </c>
      <c r="B317" s="3" t="s">
        <v>38</v>
      </c>
      <c r="C317" s="5">
        <v>0</v>
      </c>
      <c r="D317" s="5">
        <v>1</v>
      </c>
      <c r="E317" s="8">
        <v>97</v>
      </c>
      <c r="F317" s="8">
        <v>1459</v>
      </c>
      <c r="G317" s="5">
        <f t="shared" si="12"/>
        <v>6.6483893077450312E-2</v>
      </c>
      <c r="H317" s="8">
        <v>1372</v>
      </c>
      <c r="I317" s="8">
        <v>34</v>
      </c>
      <c r="J317" s="8">
        <v>5632</v>
      </c>
      <c r="K317" s="5">
        <f t="shared" si="13"/>
        <v>5.80618556701031</v>
      </c>
      <c r="L317" s="5">
        <v>2.7849806451612902</v>
      </c>
      <c r="M317" s="5">
        <v>15.6870756</v>
      </c>
      <c r="N317" s="5">
        <v>4.2662699999999996</v>
      </c>
      <c r="O317" s="5">
        <f t="shared" si="14"/>
        <v>0.72803917640328075</v>
      </c>
      <c r="P317" s="5">
        <v>0.137621612903226</v>
      </c>
      <c r="Q317" s="5">
        <v>0.13244492903225799</v>
      </c>
    </row>
    <row r="318" spans="1:17" ht="15.5" x14ac:dyDescent="0.35">
      <c r="A318" s="3" t="s">
        <v>26</v>
      </c>
      <c r="B318" s="3" t="s">
        <v>26</v>
      </c>
      <c r="C318" s="5">
        <v>16</v>
      </c>
      <c r="D318" s="5">
        <v>5</v>
      </c>
      <c r="E318" s="8">
        <v>3416</v>
      </c>
      <c r="F318" s="8">
        <v>82402</v>
      </c>
      <c r="G318" s="5">
        <f t="shared" si="12"/>
        <v>4.1455304482900898E-2</v>
      </c>
      <c r="H318" s="8">
        <v>23606</v>
      </c>
      <c r="I318" s="15">
        <v>847</v>
      </c>
      <c r="J318" s="8">
        <v>171576</v>
      </c>
      <c r="K318" s="5">
        <f t="shared" si="13"/>
        <v>5.0227166276346606</v>
      </c>
      <c r="L318" s="5">
        <v>2.5558677419354798</v>
      </c>
      <c r="M318" s="5">
        <v>220.59941760000001</v>
      </c>
      <c r="N318" s="5">
        <v>84.022887600000004</v>
      </c>
      <c r="O318" s="5">
        <f t="shared" si="14"/>
        <v>0.61911555110107419</v>
      </c>
      <c r="P318" s="5">
        <v>2.7104157290322601</v>
      </c>
      <c r="Q318" s="5">
        <v>2.6001156774193599</v>
      </c>
    </row>
  </sheetData>
  <autoFilter ref="A1:Q318" xr:uid="{849C11FA-973A-432D-918E-708EC1C717C7}">
    <sortState xmlns:xlrd2="http://schemas.microsoft.com/office/spreadsheetml/2017/richdata2" ref="A2:Q318">
      <sortCondition ref="A1:A31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response</vt:lpstr>
      <vt:lpstr>covariable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W</dc:creator>
  <cp:lastModifiedBy>admin</cp:lastModifiedBy>
  <dcterms:created xsi:type="dcterms:W3CDTF">2015-06-05T18:19:34Z</dcterms:created>
  <dcterms:modified xsi:type="dcterms:W3CDTF">2026-09-18T00:44:34Z</dcterms:modified>
</cp:coreProperties>
</file>